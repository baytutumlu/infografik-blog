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ıl Kullanılır" sheetId="1" state="visible" r:id="rId3"/>
    <sheet name="Girdi" sheetId="2" state="visible" r:id="rId4"/>
    <sheet name="Rasyolar" sheetId="3" state="visible" r:id="rId5"/>
    <sheet name="Kontro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<sst xmlns="http://schemas.openxmlformats.org/spreadsheetml/2006/main" count="224" uniqueCount="215">
  <si>
    <t xml:space="preserve">Rasyo Hesap Şablonu</t>
  </si>
  <si>
    <t xml:space="preserve">Bilanço Okuma Eğitimi, ek materyal 1</t>
  </si>
  <si>
    <t xml:space="preserve">1. Girdi sayfasına geçin. Üst satıra dönem adlarını yazın (örnek 2023/12, 2024/12, 2025/12). En eski dönem solda olsun.</t>
  </si>
  <si>
    <t xml:space="preserve">2. Sadece sarı zeminli mavi hücreleri doldurun. Her satırın yanında rakamı tablonun hangi kaleminden alacağınız yazıyor.</t>
  </si>
  <si>
    <t xml:space="preserve">3. Tüm tutarları aynı birimde girin. Şablon milyon TL varsayıyor, bin TL kullanacaksanız hepsini bin TL girin, oranlar değişmez.</t>
  </si>
  <si>
    <t xml:space="preserve">4. Giderleri, vergiyi, finansman giderini, CAPEX ve temettüyü pozitif sayı olarak girin. Formüller işareti kendisi düzeltiyor.</t>
  </si>
  <si>
    <t xml:space="preserve">5. Rasyolar sayfası otomatik hesaplanır. Ortalama gerektiren oranlar (devir hızları, ROE, ROA, ROIC) bir önceki dönem doluysa ortalama bakiyeyi, boşsa dönem sonu bakiyeyi kullanır.</t>
  </si>
  <si>
    <t xml:space="preserve">6. Tek dönemle de çalışabilirsiniz ama trend görmek için en az iki, tercihen üç yıl girin.</t>
  </si>
  <si>
    <t xml:space="preserve">7. Yorum sütunundaki eşikler genel referanstır. Perakende, enerji, holding ve banka gibi sektörlerde normlar çok farklıdır, kararınızı sektör ortalamasıyla karşılaştırarak verin.</t>
  </si>
  <si>
    <t xml:space="preserve">8. Yüksek enflasyon muhasebesi (TMS 29) uygulayan şirketlerde tüm dönemlerin aynı satın alma gücüyle raporlandığından emin olun. Önceki yıl rakamlarını her zaman son raporun karşılaştırmalı sütunundan alın.</t>
  </si>
  <si>
    <t xml:space="preserve">9. Kontrol sayfası bilanço denkliğini ve temel tutarlılıkları kontrol eder. Orada UYARI görürseniz girdileri yeniden gözden geçirin.</t>
  </si>
  <si>
    <t xml:space="preserve">Bu dosya eğitim amaçlıdır, yatırım tavsiyesi değildir.</t>
  </si>
  <si>
    <t xml:space="preserve">Renk kodları</t>
  </si>
  <si>
    <t xml:space="preserve">Mavi yazı, sarı zemin</t>
  </si>
  <si>
    <t xml:space="preserve">Sizin dolduracağınız girdi hücresi</t>
  </si>
  <si>
    <t xml:space="preserve">Siyah yazı</t>
  </si>
  <si>
    <t xml:space="preserve">Formül, elle değiştirmeyin</t>
  </si>
  <si>
    <t xml:space="preserve">Yeşil yazı</t>
  </si>
  <si>
    <t xml:space="preserve">Başka sayfadan gelen bağlantı</t>
  </si>
  <si>
    <t xml:space="preserve">Girdi Tablosu (milyon TL)</t>
  </si>
  <si>
    <t xml:space="preserve">Sarı hücreleri doldurun. Giderler ve nakit çıkışları pozitif girilir.</t>
  </si>
  <si>
    <t xml:space="preserve">Kalem</t>
  </si>
  <si>
    <t xml:space="preserve">Finansal tablodaki karşılığı</t>
  </si>
  <si>
    <t xml:space="preserve">Dönem 1</t>
  </si>
  <si>
    <t xml:space="preserve">Dönem 2</t>
  </si>
  <si>
    <t xml:space="preserve">Dönem 3</t>
  </si>
  <si>
    <t xml:space="preserve">Örnek (CCOLA 2025/12)</t>
  </si>
  <si>
    <t xml:space="preserve">Dönem adı</t>
  </si>
  <si>
    <t xml:space="preserve">Örnek 2023/12, en eski dönem solda</t>
  </si>
  <si>
    <t xml:space="preserve">2025/12</t>
  </si>
  <si>
    <t xml:space="preserve">BİLANÇO</t>
  </si>
  <si>
    <t xml:space="preserve">Nakit ve nakit benzerleri</t>
  </si>
  <si>
    <t xml:space="preserve">Bilanço, Dönen Varlıklar, Nakit ve Nakit Benzerleri</t>
  </si>
  <si>
    <t xml:space="preserve">Kısa vadeli finansal yatırımlar</t>
  </si>
  <si>
    <t xml:space="preserve">Bilanço, Dönen Varlıklar, Finansal Yatırımlar</t>
  </si>
  <si>
    <t xml:space="preserve">Ticari alacaklar (KV)</t>
  </si>
  <si>
    <t xml:space="preserve">Bilanço, Dönen Varlıklar, Ticari Alacaklar</t>
  </si>
  <si>
    <t xml:space="preserve">Stoklar</t>
  </si>
  <si>
    <t xml:space="preserve">Bilanço, Dönen Varlıklar, Stoklar</t>
  </si>
  <si>
    <t xml:space="preserve">Toplam dönen varlıklar</t>
  </si>
  <si>
    <t xml:space="preserve">Bilanço, Toplam Dönen Varlıklar</t>
  </si>
  <si>
    <t xml:space="preserve">Maddi duran varlıklar</t>
  </si>
  <si>
    <t xml:space="preserve">Bilanço, Duran Varlıklar, Maddi Duran Varlıklar</t>
  </si>
  <si>
    <t xml:space="preserve">Toplam varlıklar</t>
  </si>
  <si>
    <t xml:space="preserve">Bilanço, Toplam Varlıklar (Aktif toplamı)</t>
  </si>
  <si>
    <t xml:space="preserve">Kısa vadeli finansal borçlar</t>
  </si>
  <si>
    <t xml:space="preserve">Bilanço, KV Yükümlülükler, Finansal Borçlar (UV borçların KV kısımları dahil)</t>
  </si>
  <si>
    <t xml:space="preserve">Ticari borçlar (KV)</t>
  </si>
  <si>
    <t xml:space="preserve">Bilanço, KV Yükümlülükler, Ticari Borçlar</t>
  </si>
  <si>
    <t xml:space="preserve">Toplam kısa vadeli yükümlülükler</t>
  </si>
  <si>
    <t xml:space="preserve">Bilanço, Toplam Kısa Vadeli Yükümlülükler</t>
  </si>
  <si>
    <t xml:space="preserve">Uzun vadeli finansal borçlar</t>
  </si>
  <si>
    <t xml:space="preserve">Bilanço, UV Yükümlülükler, Finansal Borçlar</t>
  </si>
  <si>
    <t xml:space="preserve">Toplam uzun vadeli yükümlülükler</t>
  </si>
  <si>
    <t xml:space="preserve">Bilanço, Toplam Uzun Vadeli Yükümlülükler</t>
  </si>
  <si>
    <t xml:space="preserve">Ana ortaklığa ait özkaynaklar</t>
  </si>
  <si>
    <t xml:space="preserve">Bilanço, Özkaynaklar, Ana Ortaklığa Ait Özkaynaklar</t>
  </si>
  <si>
    <t xml:space="preserve">Toplam özkaynaklar</t>
  </si>
  <si>
    <t xml:space="preserve">Bilanço, Toplam Özkaynaklar (azınlık payları dahil)</t>
  </si>
  <si>
    <t xml:space="preserve">GELİR TABLOSU (giderleri pozitif girin)</t>
  </si>
  <si>
    <t xml:space="preserve">Hasılat</t>
  </si>
  <si>
    <t xml:space="preserve">Gelir Tablosu, Hasılat (Satış Gelirleri)</t>
  </si>
  <si>
    <t xml:space="preserve">Satışların maliyeti</t>
  </si>
  <si>
    <t xml:space="preserve">Gelir Tablosu, Satışların Maliyeti (-)</t>
  </si>
  <si>
    <t xml:space="preserve">Genel yönetim giderleri</t>
  </si>
  <si>
    <t xml:space="preserve">Gelir Tablosu, Genel Yönetim Giderleri (-)</t>
  </si>
  <si>
    <t xml:space="preserve">Pazarlama, satış ve dağıtım giderleri</t>
  </si>
  <si>
    <t xml:space="preserve">Gelir Tablosu, Pazarlama Giderleri (-)</t>
  </si>
  <si>
    <t xml:space="preserve">Araştırma ve geliştirme giderleri</t>
  </si>
  <si>
    <t xml:space="preserve">Gelir Tablosu, Araştırma ve Geliştirme Giderleri (-), yoksa 0</t>
  </si>
  <si>
    <t xml:space="preserve">Esas faaliyet karı</t>
  </si>
  <si>
    <t xml:space="preserve">Gelir Tablosu, Esas Faaliyet Karı (Zararı)</t>
  </si>
  <si>
    <t xml:space="preserve">Finansman öncesi faaliyet karı (FVÖK)</t>
  </si>
  <si>
    <t xml:space="preserve">Gelir Tablosu, Finansman Geliri (Gideri) Öncesi Faaliyet Karı</t>
  </si>
  <si>
    <t xml:space="preserve">Amortisman ve itfa payları</t>
  </si>
  <si>
    <t xml:space="preserve">Nakit Akış Tablosu, Amortisman ve İtfa Gideri ile İlgili Düzeltmeler</t>
  </si>
  <si>
    <t xml:space="preserve">Finansman giderleri</t>
  </si>
  <si>
    <t xml:space="preserve">Gelir Tablosu, Finansman Giderleri (-)</t>
  </si>
  <si>
    <t xml:space="preserve">Vergi öncesi kar</t>
  </si>
  <si>
    <t xml:space="preserve">Gelir Tablosu, Sürdürülen Faaliyetler Vergi Öncesi Karı</t>
  </si>
  <si>
    <t xml:space="preserve">Vergi gideri (dönem + ertelenmiş)</t>
  </si>
  <si>
    <t xml:space="preserve">Gelir Tablosu, Sürdürülen Faaliyetler Vergi Gideri (-)</t>
  </si>
  <si>
    <t xml:space="preserve">Dönem karı (azınlık dahil)</t>
  </si>
  <si>
    <t xml:space="preserve">Gelir Tablosu, Dönem Karı (Zararı)</t>
  </si>
  <si>
    <t xml:space="preserve">Ana ortaklık payı net kar</t>
  </si>
  <si>
    <t xml:space="preserve">Gelir Tablosu, Dönem Karının Dağılımı, Ana Ortaklık Payları</t>
  </si>
  <si>
    <t xml:space="preserve">NAKİT AKIŞ TABLOSU (çıkışları pozitif girin)</t>
  </si>
  <si>
    <t xml:space="preserve">İşletme faaliyetlerinden nakit akışı</t>
  </si>
  <si>
    <t xml:space="preserve">Nakit Akış Tablosu, A. İşletme Faaliyetlerinden Nakit Akışları</t>
  </si>
  <si>
    <t xml:space="preserve">Yatırım harcamaları (CAPEX)</t>
  </si>
  <si>
    <t xml:space="preserve">Nakit Akış Tablosu, Maddi ve Maddi Olmayan Duran Varlık Alımından Nakit Çıkışları</t>
  </si>
  <si>
    <t xml:space="preserve">Ödenen temettü</t>
  </si>
  <si>
    <t xml:space="preserve">Nakit Akış Tablosu, Finansman Faaliyetleri, Ödenen Temettüler</t>
  </si>
  <si>
    <t xml:space="preserve">Rasyolar</t>
  </si>
  <si>
    <t xml:space="preserve">Bu sayfadaki tüm hücreler formüldür. Değiştirmek için Girdi sayfasını kullanın.</t>
  </si>
  <si>
    <t xml:space="preserve">Rasyo</t>
  </si>
  <si>
    <t xml:space="preserve">Formül</t>
  </si>
  <si>
    <t xml:space="preserve">Nasıl yorumlanır</t>
  </si>
  <si>
    <t xml:space="preserve">Dönem</t>
  </si>
  <si>
    <t xml:space="preserve">LİKİDİTE ORANLARI</t>
  </si>
  <si>
    <t xml:space="preserve">Cari oran</t>
  </si>
  <si>
    <t xml:space="preserve">Dönen varlıklar / KV yükümlülükler</t>
  </si>
  <si>
    <t xml:space="preserve">1,5 üzeri genelde rahat, 1 altı dikkat ister. Hızlı tüketim ve perakendede 1 altı normal olabilir, çünkü tedarikçi kredisi kullanılır.</t>
  </si>
  <si>
    <t xml:space="preserve">Asit test oranı</t>
  </si>
  <si>
    <t xml:space="preserve">(Dönen varlıklar - Stoklar) / KV yükümlülükler</t>
  </si>
  <si>
    <t xml:space="preserve">Stokları satmadan KV borç ödeme gücü. 1 civarı sağlıklı kabul edilir.</t>
  </si>
  <si>
    <t xml:space="preserve">Nakit oranı</t>
  </si>
  <si>
    <t xml:space="preserve">(Nakit + KV finansal yatırımlar) / KV yükümlülükler</t>
  </si>
  <si>
    <t xml:space="preserve">En katı likidite ölçüsü. 0,2 ile 0,5 arası çoğu sanayi şirketi için yeterli.</t>
  </si>
  <si>
    <t xml:space="preserve">Net çalışma sermayesi (mn TL)</t>
  </si>
  <si>
    <t xml:space="preserve">Dönen varlıklar - KV yükümlülükler</t>
  </si>
  <si>
    <t xml:space="preserve">Negatifse şirket KV kaynakla UV varlık finanse ediyor olabilir. Trendine bakın.</t>
  </si>
  <si>
    <t xml:space="preserve">BORÇLULUK ORANLARI</t>
  </si>
  <si>
    <t xml:space="preserve">Kaldıraç oranı</t>
  </si>
  <si>
    <t xml:space="preserve">Toplam yükümlülükler / Toplam varlıklar</t>
  </si>
  <si>
    <t xml:space="preserve">Varlıkların ne kadarı borçla finanse edilmiş. %60 üzeri sanayide yüksek sayılır.</t>
  </si>
  <si>
    <t xml:space="preserve">Özkaynak / Aktif</t>
  </si>
  <si>
    <t xml:space="preserve">Toplam özkaynaklar / Toplam varlıklar</t>
  </si>
  <si>
    <t xml:space="preserve">Kaldıraç oranının tamamlayıcısı. Yükseldikçe finansal risk azalır.</t>
  </si>
  <si>
    <t xml:space="preserve">Finansal borç / Özkaynak</t>
  </si>
  <si>
    <t xml:space="preserve">(KV + UV finansal borçlar) / Toplam özkaynaklar</t>
  </si>
  <si>
    <t xml:space="preserve">1 üzeri ise şirket ortaktan çok bankayla finanse ediliyor demektir.</t>
  </si>
  <si>
    <t xml:space="preserve">Net borç (mn TL)</t>
  </si>
  <si>
    <t xml:space="preserve">KV + UV finansal borçlar - Nakit - KV finansal yatırımlar</t>
  </si>
  <si>
    <t xml:space="preserve">Negatifse şirket net nakit pozisyonunda.</t>
  </si>
  <si>
    <t xml:space="preserve">Net borç / FAVÖK</t>
  </si>
  <si>
    <t xml:space="preserve">2 altı rahat, 2 ile 3,5 arası izlenmeli, 3,5 üzeri yüksek. Negatif değer net nakit demek.</t>
  </si>
  <si>
    <t xml:space="preserve">Faiz karşılama oranı</t>
  </si>
  <si>
    <t xml:space="preserve">FVÖK / Finansman giderleri</t>
  </si>
  <si>
    <t xml:space="preserve">3 üzeri rahat, 1,5 altı alarm. Finansman giderinde kur farkı varsa ayrıca dipnottan faiz giderine bakın.</t>
  </si>
  <si>
    <t xml:space="preserve">KV finansal borç payı</t>
  </si>
  <si>
    <t xml:space="preserve">KV finansal borç / Toplam finansal borç</t>
  </si>
  <si>
    <t xml:space="preserve">Yüksekse yeniden finansman riski artar. Nakit oranıyla birlikte okuyun.</t>
  </si>
  <si>
    <t xml:space="preserve">FAALİYET (VERİMLİLİK) ORANLARI</t>
  </si>
  <si>
    <t xml:space="preserve">Aktif devir hızı</t>
  </si>
  <si>
    <t xml:space="preserve">Hasılat / Ortalama toplam varlıklar</t>
  </si>
  <si>
    <t xml:space="preserve">Her 1 TL varlıkla ne kadar satış yapıldığı. Sermaye yoğun sektörlerde düşük olur.</t>
  </si>
  <si>
    <t xml:space="preserve">Maddi duran varlık devir hızı</t>
  </si>
  <si>
    <t xml:space="preserve">Hasılat / Ortalama maddi duran varlıklar</t>
  </si>
  <si>
    <t xml:space="preserve">Düşüşü yeni yatırımın henüz ciroya dönmediğini gösterebilir.</t>
  </si>
  <si>
    <t xml:space="preserve">Alacak devir hızı</t>
  </si>
  <si>
    <t xml:space="preserve">Hasılat / Ortalama ticari alacaklar</t>
  </si>
  <si>
    <t xml:space="preserve">Yılda kaç kez tahsilat döngüsü tamamlanıyor.</t>
  </si>
  <si>
    <t xml:space="preserve">Alacak tahsil süresi (gün)</t>
  </si>
  <si>
    <t xml:space="preserve">365 / Alacak devir hızı</t>
  </si>
  <si>
    <t xml:space="preserve">Uzaması tahsilat sorunu veya agresif satış işareti olabilir.</t>
  </si>
  <si>
    <t xml:space="preserve">Stok devir hızı</t>
  </si>
  <si>
    <t xml:space="preserve">Satışların maliyeti / Ortalama stoklar</t>
  </si>
  <si>
    <t xml:space="preserve">Yılda kaç kez stok yenileniyor.</t>
  </si>
  <si>
    <t xml:space="preserve">Stokta kalma süresi (gün)</t>
  </si>
  <si>
    <t xml:space="preserve">365 / Stok devir hızı</t>
  </si>
  <si>
    <t xml:space="preserve">Uzaması talep zayıflığı veya eskiyen stok riski olabilir.</t>
  </si>
  <si>
    <t xml:space="preserve">Ticari borç ödeme süresi (gün)</t>
  </si>
  <si>
    <t xml:space="preserve">365 x Ortalama ticari borçlar / Satışların maliyeti</t>
  </si>
  <si>
    <t xml:space="preserve">Uzun olması tedarikçiye karşı pazarlık gücüne işaret eder.</t>
  </si>
  <si>
    <t xml:space="preserve">Nakit dönüşüm süresi (gün)</t>
  </si>
  <si>
    <t xml:space="preserve">Alacak süresi + Stok süresi - Borç süresi</t>
  </si>
  <si>
    <t xml:space="preserve">Kısa veya negatifse şirket büyürken nakit tüketmez. Uzaması işletme sermayesi ihtiyacını artırır.</t>
  </si>
  <si>
    <t xml:space="preserve">KARLILIK ORANLARI</t>
  </si>
  <si>
    <t xml:space="preserve">Brüt kar marjı</t>
  </si>
  <si>
    <t xml:space="preserve">(Hasılat - SMM) / Hasılat</t>
  </si>
  <si>
    <t xml:space="preserve">Fiyatlama gücünün ilk göstergesi. Yıllar içinde istikrarı seviyesinden önemli.</t>
  </si>
  <si>
    <t xml:space="preserve">FAVÖK marjı</t>
  </si>
  <si>
    <t xml:space="preserve">(Brüt kar - GYG - Pazarlama - ArGe + Amortisman) / Hasılat</t>
  </si>
  <si>
    <t xml:space="preserve">Diğer faaliyet gelir ve giderleri hariç tutulmuştur, böylece kur farkı gibi tek seferlik kalemler marjı bozmaz.</t>
  </si>
  <si>
    <t xml:space="preserve">Esas faaliyet kar marjı</t>
  </si>
  <si>
    <t xml:space="preserve">Esas faaliyet karı / Hasılat</t>
  </si>
  <si>
    <t xml:space="preserve">FAVÖK marjından belirgin farklıysa diğer faaliyet gelir ve giderlerini dipnottan inceleyin.</t>
  </si>
  <si>
    <t xml:space="preserve">Net kar marjı</t>
  </si>
  <si>
    <t xml:space="preserve">Ana ortaklık net karı / Hasılat</t>
  </si>
  <si>
    <t xml:space="preserve">Faaliyet marjından çok yüksekse karın kaynağı faaliyet dışı olabilir.</t>
  </si>
  <si>
    <t xml:space="preserve">Özkaynak karlılığı (ROE)</t>
  </si>
  <si>
    <t xml:space="preserve">Ana ortaklık net karı / Ort. ana ortaklık özkaynakları</t>
  </si>
  <si>
    <t xml:space="preserve">Enflasyonun ve faiz oranının üzerinde olması beklenir. Yüksek kaldıraçla şişebilir.</t>
  </si>
  <si>
    <t xml:space="preserve">Aktif karlılığı (ROA)</t>
  </si>
  <si>
    <t xml:space="preserve">Dönem karı / Ortalama toplam varlıklar</t>
  </si>
  <si>
    <t xml:space="preserve">Kaldıraçtan bağımsız verimlilik ölçüsü.</t>
  </si>
  <si>
    <t xml:space="preserve">Efektif vergi oranı</t>
  </si>
  <si>
    <t xml:space="preserve">Vergi gideri / Vergi öncesi kar</t>
  </si>
  <si>
    <t xml:space="preserve">Yasal oranın çok altındaysa teşvik veya ertelenmiş vergi etkisini dipnotta arayın.</t>
  </si>
  <si>
    <t xml:space="preserve">NOPAT (mn TL)</t>
  </si>
  <si>
    <t xml:space="preserve">Esas faaliyet karı x (1 - Efektif vergi oranı)</t>
  </si>
  <si>
    <t xml:space="preserve">Vergi sonrası faaliyet karı, ROIC hesabının payı.</t>
  </si>
  <si>
    <t xml:space="preserve">Yatırılan sermaye (mn TL)</t>
  </si>
  <si>
    <t xml:space="preserve">Toplam özkaynaklar + Net borç</t>
  </si>
  <si>
    <t xml:space="preserve">Şirketin faaliyetine bağlanmış toplam sermaye.</t>
  </si>
  <si>
    <t xml:space="preserve">Yatırılan sermaye getirisi (ROIC)</t>
  </si>
  <si>
    <t xml:space="preserve">NOPAT / Ortalama yatırılan sermaye</t>
  </si>
  <si>
    <t xml:space="preserve">Sermaye maliyetinin üzerinde kalıcı ROIC değer yaratan şirketi gösterir.</t>
  </si>
  <si>
    <t xml:space="preserve">NAKİT AKIŞI ORANLARI</t>
  </si>
  <si>
    <t xml:space="preserve">Serbest nakit akışı (mn TL)</t>
  </si>
  <si>
    <t xml:space="preserve">İşletme nakit akışı - CAPEX</t>
  </si>
  <si>
    <t xml:space="preserve">Kalıcı negatif SNA borç veya sermaye artırımıyla finanse edilen büyüme demektir.</t>
  </si>
  <si>
    <t xml:space="preserve">SNA marjı</t>
  </si>
  <si>
    <t xml:space="preserve">SNA / Hasılat</t>
  </si>
  <si>
    <t xml:space="preserve">Satışların ne kadarının gerçek nakde döndüğü.</t>
  </si>
  <si>
    <t xml:space="preserve">Kar kalitesi</t>
  </si>
  <si>
    <t xml:space="preserve">İşletme nakit akışı / Dönem karı</t>
  </si>
  <si>
    <t xml:space="preserve">1 civarı veya üzeri sağlıklı. Yıllarca 1 altında kalması tahakkuk ağırlıklı kar sinyali.</t>
  </si>
  <si>
    <t xml:space="preserve">CAPEX / Amortisman</t>
  </si>
  <si>
    <t xml:space="preserve">1 üzeri büyüme yatırımı, 1 altı varlık tabanının eridiğini gösterebilir.</t>
  </si>
  <si>
    <t xml:space="preserve">CAPEX / Hasılat</t>
  </si>
  <si>
    <t xml:space="preserve">Sektörün yatırım yoğunluğunu gösterir.</t>
  </si>
  <si>
    <t xml:space="preserve">Temettü / SNA</t>
  </si>
  <si>
    <t xml:space="preserve">Ödenen temettü / SNA</t>
  </si>
  <si>
    <t xml:space="preserve">%100 üzeri temettünün borçla veya nakit stokuyla ödendiğini gösterir.</t>
  </si>
  <si>
    <t xml:space="preserve">Ortalama bakiye kullanan oranlarda Dönem 1 için dönem sonu bakiyesi kullanılır, bu yüzden ilk sütun bir sonrakilerle tam kıyaslanabilir değildir.</t>
  </si>
  <si>
    <t xml:space="preserve">Girdi Kontrolleri</t>
  </si>
  <si>
    <t xml:space="preserve">Kontrol</t>
  </si>
  <si>
    <t xml:space="preserve">Toplam varlıklar = KV + UV yükümlülükler + Özkaynaklar</t>
  </si>
  <si>
    <t xml:space="preserve">Dönen varlıklar toplam varlıklardan küçük</t>
  </si>
  <si>
    <t xml:space="preserve">Ana ortaklık özkaynağı toplam özkaynaktan büyük değil</t>
  </si>
  <si>
    <t xml:space="preserve">Giderler pozitif girilmiş (SMM, GYG, pazarlama)</t>
  </si>
  <si>
    <t xml:space="preserve">CAPEX ve temettü pozitif girilmiş</t>
  </si>
  <si>
    <t xml:space="preserve">Bilanço denkliğinde yüzde 1 sapma toleransı kullanılır, yuvarlamadan kaynaklı farklar UYARI vermez.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</si>
</sst>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0\x;\(0.00&quot;x)&quot;;\-"/>
    <numFmt numFmtId="167" formatCode="0.0%;\(0.0%\);\-"/>
    <numFmt numFmtId="168" formatCode="#,##0&quot; gün&quot;;\(#,##0&quot; gün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DCE6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  <col collapsed="false" customWidth="true" hidden="false" outlineLevel="0" max="3" min="3" style="0" width="4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</row>
    <row r="6" customFormat="false" ht="30" hidden="false" customHeight="true" outlineLevel="0" collapsed="false">
      <c r="B6" s="3" t="s">
        <v>3</v>
      </c>
    </row>
    <row r="7" customFormat="false" ht="30" hidden="false" customHeight="true" outlineLevel="0" collapsed="false">
      <c r="B7" s="3" t="s">
        <v>4</v>
      </c>
    </row>
    <row r="8" customFormat="false" ht="30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  <row r="10" customFormat="false" ht="15.75" hidden="false" customHeight="true" outlineLevel="0" collapsed="false">
      <c r="B10" s="3" t="s">
        <v>7</v>
      </c>
    </row>
    <row r="11" customFormat="false" ht="30" hidden="false" customHeight="true" outlineLevel="0" collapsed="false">
      <c r="B11" s="3" t="s">
        <v>8</v>
      </c>
    </row>
    <row r="12" customFormat="false" ht="30" hidden="false" customHeight="true" outlineLevel="0" collapsed="false">
      <c r="B12" s="3" t="s">
        <v>9</v>
      </c>
    </row>
    <row r="13" customFormat="false" ht="30" hidden="false" customHeight="true" outlineLevel="0" collapsed="false">
      <c r="B13" s="3" t="s">
        <v>10</v>
      </c>
    </row>
    <row r="14" customFormat="false" ht="15.75" hidden="false" customHeight="true" outlineLevel="0" collapsed="false">
      <c r="B14" s="3"/>
    </row>
    <row r="15" customFormat="false" ht="15.75" hidden="false" customHeight="true" outlineLevel="0" collapsed="false">
      <c r="B15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5" t="s">
        <v>13</v>
      </c>
      <c r="C19" s="6" t="s">
        <v>14</v>
      </c>
    </row>
    <row r="20" customFormat="false" ht="15" hidden="false" customHeight="false" outlineLevel="0" collapsed="false">
      <c r="B20" s="6" t="s">
        <v>15</v>
      </c>
      <c r="C20" s="6" t="s">
        <v>16</v>
      </c>
    </row>
    <row r="21" customFormat="false" ht="15" hidden="false" customHeight="false" outlineLevel="0" collapsed="false">
      <c r="B21" s="7" t="s">
        <v>17</v>
      </c>
      <c r="C21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2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G4" s="8" t="s">
        <v>26</v>
      </c>
    </row>
    <row r="5" customFormat="false" ht="15" hidden="false" customHeight="false" outlineLevel="0" collapsed="false">
      <c r="A5" s="4" t="s">
        <v>27</v>
      </c>
      <c r="B5" s="2" t="s">
        <v>28</v>
      </c>
      <c r="C5" s="9"/>
      <c r="D5" s="9"/>
      <c r="E5" s="9"/>
      <c r="G5" s="2" t="s">
        <v>29</v>
      </c>
    </row>
    <row r="6" customFormat="false" ht="15" hidden="false" customHeight="false" outlineLevel="0" collapsed="false">
      <c r="A6" s="10" t="s">
        <v>30</v>
      </c>
      <c r="B6" s="11"/>
      <c r="C6" s="11"/>
      <c r="D6" s="11"/>
      <c r="E6" s="11"/>
    </row>
    <row r="7" customFormat="false" ht="15" hidden="false" customHeight="false" outlineLevel="0" collapsed="false">
      <c r="A7" s="12" t="s">
        <v>31</v>
      </c>
      <c r="B7" s="13" t="s">
        <v>32</v>
      </c>
      <c r="C7" s="14"/>
      <c r="D7" s="14"/>
      <c r="E7" s="14"/>
      <c r="G7" s="15" t="n">
        <v>30975.3</v>
      </c>
    </row>
    <row r="8" customFormat="false" ht="15" hidden="false" customHeight="false" outlineLevel="0" collapsed="false">
      <c r="A8" s="12" t="s">
        <v>33</v>
      </c>
      <c r="B8" s="13" t="s">
        <v>34</v>
      </c>
      <c r="C8" s="14"/>
      <c r="D8" s="14"/>
      <c r="E8" s="14"/>
      <c r="G8" s="15" t="n">
        <v>261.6</v>
      </c>
    </row>
    <row r="9" customFormat="false" ht="15" hidden="false" customHeight="false" outlineLevel="0" collapsed="false">
      <c r="A9" s="12" t="s">
        <v>35</v>
      </c>
      <c r="B9" s="13" t="s">
        <v>36</v>
      </c>
      <c r="C9" s="14"/>
      <c r="D9" s="14"/>
      <c r="E9" s="14"/>
      <c r="G9" s="15" t="n">
        <v>22415.4</v>
      </c>
    </row>
    <row r="10" customFormat="false" ht="15" hidden="false" customHeight="false" outlineLevel="0" collapsed="false">
      <c r="A10" s="12" t="s">
        <v>37</v>
      </c>
      <c r="B10" s="13" t="s">
        <v>38</v>
      </c>
      <c r="C10" s="14"/>
      <c r="D10" s="14"/>
      <c r="E10" s="14"/>
      <c r="G10" s="15" t="n">
        <v>22481.6</v>
      </c>
    </row>
    <row r="11" customFormat="false" ht="15" hidden="false" customHeight="false" outlineLevel="0" collapsed="false">
      <c r="A11" s="12" t="s">
        <v>39</v>
      </c>
      <c r="B11" s="13" t="s">
        <v>40</v>
      </c>
      <c r="C11" s="14"/>
      <c r="D11" s="14"/>
      <c r="E11" s="14"/>
      <c r="G11" s="15" t="n">
        <v>86689.8</v>
      </c>
    </row>
    <row r="12" customFormat="false" ht="15" hidden="false" customHeight="false" outlineLevel="0" collapsed="false">
      <c r="A12" s="12" t="s">
        <v>41</v>
      </c>
      <c r="B12" s="13" t="s">
        <v>42</v>
      </c>
      <c r="C12" s="14"/>
      <c r="D12" s="14"/>
      <c r="E12" s="14"/>
      <c r="G12" s="15" t="n">
        <v>87067.8</v>
      </c>
    </row>
    <row r="13" customFormat="false" ht="15" hidden="false" customHeight="false" outlineLevel="0" collapsed="false">
      <c r="A13" s="12" t="s">
        <v>43</v>
      </c>
      <c r="B13" s="13" t="s">
        <v>44</v>
      </c>
      <c r="C13" s="14"/>
      <c r="D13" s="14"/>
      <c r="E13" s="14"/>
      <c r="G13" s="15" t="n">
        <v>224653.2</v>
      </c>
    </row>
    <row r="14" customFormat="false" ht="15" hidden="false" customHeight="false" outlineLevel="0" collapsed="false">
      <c r="A14" s="12" t="s">
        <v>45</v>
      </c>
      <c r="B14" s="13" t="s">
        <v>46</v>
      </c>
      <c r="C14" s="14"/>
      <c r="D14" s="14"/>
      <c r="E14" s="14"/>
      <c r="G14" s="15" t="n">
        <v>23054.7</v>
      </c>
    </row>
    <row r="15" customFormat="false" ht="15" hidden="false" customHeight="false" outlineLevel="0" collapsed="false">
      <c r="A15" s="12" t="s">
        <v>47</v>
      </c>
      <c r="B15" s="13" t="s">
        <v>48</v>
      </c>
      <c r="C15" s="14"/>
      <c r="D15" s="14"/>
      <c r="E15" s="14"/>
      <c r="G15" s="15" t="n">
        <v>40644.7</v>
      </c>
    </row>
    <row r="16" customFormat="false" ht="15" hidden="false" customHeight="false" outlineLevel="0" collapsed="false">
      <c r="A16" s="12" t="s">
        <v>49</v>
      </c>
      <c r="B16" s="13" t="s">
        <v>50</v>
      </c>
      <c r="C16" s="14"/>
      <c r="D16" s="14"/>
      <c r="E16" s="14"/>
      <c r="G16" s="15" t="n">
        <v>75172.7</v>
      </c>
    </row>
    <row r="17" customFormat="false" ht="15" hidden="false" customHeight="false" outlineLevel="0" collapsed="false">
      <c r="A17" s="12" t="s">
        <v>51</v>
      </c>
      <c r="B17" s="13" t="s">
        <v>52</v>
      </c>
      <c r="C17" s="14"/>
      <c r="D17" s="14"/>
      <c r="E17" s="14"/>
      <c r="G17" s="15" t="n">
        <v>38320.2</v>
      </c>
    </row>
    <row r="18" customFormat="false" ht="15" hidden="false" customHeight="false" outlineLevel="0" collapsed="false">
      <c r="A18" s="12" t="s">
        <v>53</v>
      </c>
      <c r="B18" s="13" t="s">
        <v>54</v>
      </c>
      <c r="C18" s="14"/>
      <c r="D18" s="14"/>
      <c r="E18" s="14"/>
      <c r="G18" s="15" t="n">
        <v>47470.2</v>
      </c>
    </row>
    <row r="19" customFormat="false" ht="15" hidden="false" customHeight="false" outlineLevel="0" collapsed="false">
      <c r="A19" s="12" t="s">
        <v>55</v>
      </c>
      <c r="B19" s="13" t="s">
        <v>56</v>
      </c>
      <c r="C19" s="14"/>
      <c r="D19" s="14"/>
      <c r="E19" s="14"/>
      <c r="G19" s="15" t="n">
        <v>89307.3</v>
      </c>
    </row>
    <row r="20" customFormat="false" ht="15" hidden="false" customHeight="false" outlineLevel="0" collapsed="false">
      <c r="A20" s="12" t="s">
        <v>57</v>
      </c>
      <c r="B20" s="13" t="s">
        <v>58</v>
      </c>
      <c r="C20" s="14"/>
      <c r="D20" s="14"/>
      <c r="E20" s="14"/>
      <c r="G20" s="15" t="n">
        <v>102010.3</v>
      </c>
    </row>
    <row r="21" customFormat="false" ht="15" hidden="false" customHeight="false" outlineLevel="0" collapsed="false">
      <c r="A21" s="10" t="s">
        <v>59</v>
      </c>
      <c r="B21" s="11"/>
      <c r="C21" s="11"/>
      <c r="D21" s="11"/>
      <c r="E21" s="11"/>
    </row>
    <row r="22" customFormat="false" ht="15" hidden="false" customHeight="false" outlineLevel="0" collapsed="false">
      <c r="A22" s="12" t="s">
        <v>60</v>
      </c>
      <c r="B22" s="13" t="s">
        <v>61</v>
      </c>
      <c r="C22" s="14"/>
      <c r="D22" s="14"/>
      <c r="E22" s="14"/>
      <c r="G22" s="15" t="n">
        <v>220428.3</v>
      </c>
    </row>
    <row r="23" customFormat="false" ht="15" hidden="false" customHeight="false" outlineLevel="0" collapsed="false">
      <c r="A23" s="12" t="s">
        <v>62</v>
      </c>
      <c r="B23" s="13" t="s">
        <v>63</v>
      </c>
      <c r="C23" s="14"/>
      <c r="D23" s="14"/>
      <c r="E23" s="14"/>
      <c r="G23" s="15" t="n">
        <v>142037.9</v>
      </c>
    </row>
    <row r="24" customFormat="false" ht="15" hidden="false" customHeight="false" outlineLevel="0" collapsed="false">
      <c r="A24" s="12" t="s">
        <v>64</v>
      </c>
      <c r="B24" s="13" t="s">
        <v>65</v>
      </c>
      <c r="C24" s="14"/>
      <c r="D24" s="14"/>
      <c r="E24" s="14"/>
      <c r="G24" s="15" t="n">
        <v>11908.2</v>
      </c>
    </row>
    <row r="25" customFormat="false" ht="15" hidden="false" customHeight="false" outlineLevel="0" collapsed="false">
      <c r="A25" s="12" t="s">
        <v>66</v>
      </c>
      <c r="B25" s="13" t="s">
        <v>67</v>
      </c>
      <c r="C25" s="14"/>
      <c r="D25" s="14"/>
      <c r="E25" s="14"/>
      <c r="G25" s="15" t="n">
        <v>36722.6</v>
      </c>
    </row>
    <row r="26" customFormat="false" ht="15" hidden="false" customHeight="false" outlineLevel="0" collapsed="false">
      <c r="A26" s="12" t="s">
        <v>68</v>
      </c>
      <c r="B26" s="13" t="s">
        <v>69</v>
      </c>
      <c r="C26" s="14"/>
      <c r="D26" s="14"/>
      <c r="E26" s="14"/>
      <c r="G26" s="15" t="n">
        <v>0</v>
      </c>
    </row>
    <row r="27" customFormat="false" ht="15" hidden="false" customHeight="false" outlineLevel="0" collapsed="false">
      <c r="A27" s="12" t="s">
        <v>70</v>
      </c>
      <c r="B27" s="13" t="s">
        <v>71</v>
      </c>
      <c r="C27" s="14"/>
      <c r="D27" s="14"/>
      <c r="E27" s="14"/>
      <c r="G27" s="15" t="n">
        <v>29623.2</v>
      </c>
    </row>
    <row r="28" customFormat="false" ht="15" hidden="false" customHeight="false" outlineLevel="0" collapsed="false">
      <c r="A28" s="12" t="s">
        <v>72</v>
      </c>
      <c r="B28" s="13" t="s">
        <v>73</v>
      </c>
      <c r="C28" s="14"/>
      <c r="D28" s="14"/>
      <c r="E28" s="14"/>
      <c r="G28" s="15" t="n">
        <v>29554</v>
      </c>
    </row>
    <row r="29" customFormat="false" ht="15" hidden="false" customHeight="false" outlineLevel="0" collapsed="false">
      <c r="A29" s="12" t="s">
        <v>74</v>
      </c>
      <c r="B29" s="13" t="s">
        <v>75</v>
      </c>
      <c r="C29" s="14"/>
      <c r="D29" s="14"/>
      <c r="E29" s="14"/>
      <c r="G29" s="15" t="n">
        <v>8994.7</v>
      </c>
    </row>
    <row r="30" customFormat="false" ht="15" hidden="false" customHeight="false" outlineLevel="0" collapsed="false">
      <c r="A30" s="12" t="s">
        <v>76</v>
      </c>
      <c r="B30" s="13" t="s">
        <v>77</v>
      </c>
      <c r="C30" s="14"/>
      <c r="D30" s="14"/>
      <c r="E30" s="14"/>
      <c r="G30" s="15" t="n">
        <v>17588.4</v>
      </c>
    </row>
    <row r="31" customFormat="false" ht="15" hidden="false" customHeight="false" outlineLevel="0" collapsed="false">
      <c r="A31" s="12" t="s">
        <v>78</v>
      </c>
      <c r="B31" s="13" t="s">
        <v>79</v>
      </c>
      <c r="C31" s="14"/>
      <c r="D31" s="14"/>
      <c r="E31" s="14"/>
      <c r="G31" s="15" t="n">
        <v>25123.2</v>
      </c>
    </row>
    <row r="32" customFormat="false" ht="15" hidden="false" customHeight="false" outlineLevel="0" collapsed="false">
      <c r="A32" s="12" t="s">
        <v>80</v>
      </c>
      <c r="B32" s="13" t="s">
        <v>81</v>
      </c>
      <c r="C32" s="14"/>
      <c r="D32" s="14"/>
      <c r="E32" s="14"/>
      <c r="G32" s="15" t="n">
        <v>8326.8</v>
      </c>
    </row>
    <row r="33" customFormat="false" ht="15" hidden="false" customHeight="false" outlineLevel="0" collapsed="false">
      <c r="A33" s="12" t="s">
        <v>82</v>
      </c>
      <c r="B33" s="13" t="s">
        <v>83</v>
      </c>
      <c r="C33" s="14"/>
      <c r="D33" s="14"/>
      <c r="E33" s="14"/>
      <c r="G33" s="15" t="n">
        <v>16796.5</v>
      </c>
    </row>
    <row r="34" customFormat="false" ht="15" hidden="false" customHeight="false" outlineLevel="0" collapsed="false">
      <c r="A34" s="12" t="s">
        <v>84</v>
      </c>
      <c r="B34" s="13" t="s">
        <v>85</v>
      </c>
      <c r="C34" s="14"/>
      <c r="D34" s="14"/>
      <c r="E34" s="14"/>
      <c r="G34" s="15" t="n">
        <v>16571.6</v>
      </c>
    </row>
    <row r="35" customFormat="false" ht="15" hidden="false" customHeight="false" outlineLevel="0" collapsed="false">
      <c r="A35" s="10" t="s">
        <v>86</v>
      </c>
      <c r="B35" s="11"/>
      <c r="C35" s="11"/>
      <c r="D35" s="11"/>
      <c r="E35" s="11"/>
    </row>
    <row r="36" customFormat="false" ht="15" hidden="false" customHeight="false" outlineLevel="0" collapsed="false">
      <c r="A36" s="12" t="s">
        <v>87</v>
      </c>
      <c r="B36" s="13" t="s">
        <v>88</v>
      </c>
      <c r="C36" s="14"/>
      <c r="D36" s="14"/>
      <c r="E36" s="14"/>
      <c r="G36" s="15" t="n">
        <v>32235.8</v>
      </c>
    </row>
    <row r="37" customFormat="false" ht="15" hidden="false" customHeight="false" outlineLevel="0" collapsed="false">
      <c r="A37" s="12" t="s">
        <v>89</v>
      </c>
      <c r="B37" s="13" t="s">
        <v>90</v>
      </c>
      <c r="C37" s="14"/>
      <c r="D37" s="14"/>
      <c r="E37" s="14"/>
      <c r="G37" s="15" t="n">
        <v>16332.1</v>
      </c>
    </row>
    <row r="38" customFormat="false" ht="15" hidden="false" customHeight="false" outlineLevel="0" collapsed="false">
      <c r="A38" s="12" t="s">
        <v>91</v>
      </c>
      <c r="B38" s="13" t="s">
        <v>92</v>
      </c>
      <c r="C38" s="14"/>
      <c r="D38" s="14"/>
      <c r="E38" s="14"/>
      <c r="G38" s="15" t="n">
        <v>4157.2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8" t="s">
        <v>95</v>
      </c>
      <c r="B4" s="8" t="s">
        <v>96</v>
      </c>
      <c r="C4" s="8" t="s">
        <v>23</v>
      </c>
      <c r="D4" s="8" t="s">
        <v>24</v>
      </c>
      <c r="E4" s="8" t="s">
        <v>25</v>
      </c>
      <c r="F4" s="8" t="s">
        <v>97</v>
      </c>
    </row>
    <row r="5" customFormat="false" ht="15" hidden="false" customHeight="false" outlineLevel="0" collapsed="false">
      <c r="A5" s="4" t="s">
        <v>98</v>
      </c>
      <c r="C5" s="16" t="str">
        <f aca="false">IF(Girdi!C5="","",Girdi!C5)</f>
        <v/>
      </c>
      <c r="D5" s="16" t="str">
        <f aca="false">IF(Girdi!D5="","",Girdi!D5)</f>
        <v/>
      </c>
      <c r="E5" s="16" t="str">
        <f aca="false">IF(Girdi!E5="","",Girdi!E5)</f>
        <v/>
      </c>
    </row>
    <row r="6" customFormat="false" ht="15" hidden="false" customHeight="false" outlineLevel="0" collapsed="false">
      <c r="A6" s="10" t="s">
        <v>99</v>
      </c>
      <c r="B6" s="11"/>
      <c r="C6" s="11"/>
      <c r="D6" s="11"/>
      <c r="E6" s="11"/>
      <c r="F6" s="11"/>
    </row>
    <row r="7" customFormat="false" ht="36" hidden="false" customHeight="true" outlineLevel="0" collapsed="false">
      <c r="A7" s="12" t="s">
        <v>100</v>
      </c>
      <c r="B7" s="13" t="s">
        <v>101</v>
      </c>
      <c r="C7" s="17" t="str">
        <f aca="false">IFERROR(Girdi!C11/Girdi!C16,"")</f>
        <v/>
      </c>
      <c r="D7" s="17" t="str">
        <f aca="false">IFERROR(Girdi!D11/Girdi!D16,"")</f>
        <v/>
      </c>
      <c r="E7" s="17" t="str">
        <f aca="false">IFERROR(Girdi!E11/Girdi!E16,"")</f>
        <v/>
      </c>
      <c r="F7" s="18" t="s">
        <v>102</v>
      </c>
    </row>
    <row r="8" customFormat="false" ht="36" hidden="false" customHeight="true" outlineLevel="0" collapsed="false">
      <c r="A8" s="12" t="s">
        <v>103</v>
      </c>
      <c r="B8" s="13" t="s">
        <v>104</v>
      </c>
      <c r="C8" s="17" t="str">
        <f aca="false">IFERROR((Girdi!C11-Girdi!C10)/Girdi!C16,"")</f>
        <v/>
      </c>
      <c r="D8" s="17" t="str">
        <f aca="false">IFERROR((Girdi!D11-Girdi!D10)/Girdi!D16,"")</f>
        <v/>
      </c>
      <c r="E8" s="17" t="str">
        <f aca="false">IFERROR((Girdi!E11-Girdi!E10)/Girdi!E16,"")</f>
        <v/>
      </c>
      <c r="F8" s="18" t="s">
        <v>105</v>
      </c>
    </row>
    <row r="9" customFormat="false" ht="36" hidden="false" customHeight="true" outlineLevel="0" collapsed="false">
      <c r="A9" s="12" t="s">
        <v>106</v>
      </c>
      <c r="B9" s="13" t="s">
        <v>107</v>
      </c>
      <c r="C9" s="17" t="str">
        <f aca="false">IFERROR((Girdi!C7+Girdi!C8)/Girdi!C16,"")</f>
        <v/>
      </c>
      <c r="D9" s="17" t="str">
        <f aca="false">IFERROR((Girdi!D7+Girdi!D8)/Girdi!D16,"")</f>
        <v/>
      </c>
      <c r="E9" s="17" t="str">
        <f aca="false">IFERROR((Girdi!E7+Girdi!E8)/Girdi!E16,"")</f>
        <v/>
      </c>
      <c r="F9" s="18" t="s">
        <v>108</v>
      </c>
    </row>
    <row r="10" customFormat="false" ht="36" hidden="false" customHeight="true" outlineLevel="0" collapsed="false">
      <c r="A10" s="12" t="s">
        <v>109</v>
      </c>
      <c r="B10" s="13" t="s">
        <v>110</v>
      </c>
      <c r="C10" s="19" t="n">
        <f aca="false">IFERROR(Girdi!C11-Girdi!C16,"")</f>
        <v>0</v>
      </c>
      <c r="D10" s="19" t="n">
        <f aca="false">IFERROR(Girdi!D11-Girdi!D16,"")</f>
        <v>0</v>
      </c>
      <c r="E10" s="19" t="n">
        <f aca="false">IFERROR(Girdi!E11-Girdi!E16,"")</f>
        <v>0</v>
      </c>
      <c r="F10" s="18" t="s">
        <v>111</v>
      </c>
    </row>
    <row r="11" customFormat="false" ht="15" hidden="false" customHeight="false" outlineLevel="0" collapsed="false">
      <c r="A11" s="10" t="s">
        <v>112</v>
      </c>
      <c r="B11" s="11"/>
      <c r="C11" s="11"/>
      <c r="D11" s="11"/>
      <c r="E11" s="11"/>
      <c r="F11" s="11"/>
    </row>
    <row r="12" customFormat="false" ht="36" hidden="false" customHeight="true" outlineLevel="0" collapsed="false">
      <c r="A12" s="12" t="s">
        <v>113</v>
      </c>
      <c r="B12" s="13" t="s">
        <v>114</v>
      </c>
      <c r="C12" s="20" t="str">
        <f aca="false">IFERROR((Girdi!C16+Girdi!C18)/Girdi!C13,"")</f>
        <v/>
      </c>
      <c r="D12" s="20" t="str">
        <f aca="false">IFERROR((Girdi!D16+Girdi!D18)/Girdi!D13,"")</f>
        <v/>
      </c>
      <c r="E12" s="20" t="str">
        <f aca="false">IFERROR((Girdi!E16+Girdi!E18)/Girdi!E13,"")</f>
        <v/>
      </c>
      <c r="F12" s="18" t="s">
        <v>115</v>
      </c>
    </row>
    <row r="13" customFormat="false" ht="36" hidden="false" customHeight="true" outlineLevel="0" collapsed="false">
      <c r="A13" s="12" t="s">
        <v>116</v>
      </c>
      <c r="B13" s="13" t="s">
        <v>117</v>
      </c>
      <c r="C13" s="20" t="str">
        <f aca="false">IFERROR(Girdi!C20/Girdi!C13,"")</f>
        <v/>
      </c>
      <c r="D13" s="20" t="str">
        <f aca="false">IFERROR(Girdi!D20/Girdi!D13,"")</f>
        <v/>
      </c>
      <c r="E13" s="20" t="str">
        <f aca="false">IFERROR(Girdi!E20/Girdi!E13,"")</f>
        <v/>
      </c>
      <c r="F13" s="18" t="s">
        <v>118</v>
      </c>
    </row>
    <row r="14" customFormat="false" ht="36" hidden="false" customHeight="true" outlineLevel="0" collapsed="false">
      <c r="A14" s="12" t="s">
        <v>119</v>
      </c>
      <c r="B14" s="13" t="s">
        <v>120</v>
      </c>
      <c r="C14" s="17" t="str">
        <f aca="false">IFERROR((Girdi!C14+Girdi!C17)/Girdi!C20,"")</f>
        <v/>
      </c>
      <c r="D14" s="17" t="str">
        <f aca="false">IFERROR((Girdi!D14+Girdi!D17)/Girdi!D20,"")</f>
        <v/>
      </c>
      <c r="E14" s="17" t="str">
        <f aca="false">IFERROR((Girdi!E14+Girdi!E17)/Girdi!E20,"")</f>
        <v/>
      </c>
      <c r="F14" s="18" t="s">
        <v>121</v>
      </c>
    </row>
    <row r="15" customFormat="false" ht="36" hidden="false" customHeight="true" outlineLevel="0" collapsed="false">
      <c r="A15" s="12" t="s">
        <v>122</v>
      </c>
      <c r="B15" s="13" t="s">
        <v>123</v>
      </c>
      <c r="C15" s="19" t="n">
        <f aca="false">IFERROR((Girdi!C14+Girdi!C17-Girdi!C7-Girdi!C8),"")</f>
        <v>0</v>
      </c>
      <c r="D15" s="19" t="n">
        <f aca="false">IFERROR((Girdi!D14+Girdi!D17-Girdi!D7-Girdi!D8),"")</f>
        <v>0</v>
      </c>
      <c r="E15" s="19" t="n">
        <f aca="false">IFERROR((Girdi!E14+Girdi!E17-Girdi!E7-Girdi!E8),"")</f>
        <v>0</v>
      </c>
      <c r="F15" s="18" t="s">
        <v>124</v>
      </c>
    </row>
    <row r="16" customFormat="false" ht="36" hidden="false" customHeight="true" outlineLevel="0" collapsed="false">
      <c r="A16" s="12" t="s">
        <v>125</v>
      </c>
      <c r="B16" s="13" t="s">
        <v>125</v>
      </c>
      <c r="C16" s="17" t="str">
        <f aca="false">IFERROR((Girdi!C14+Girdi!C17-Girdi!C7-Girdi!C8)/(Girdi!C22-Girdi!C23-Girdi!C24-Girdi!C25-Girdi!C26+Girdi!C29),"")</f>
        <v/>
      </c>
      <c r="D16" s="17" t="str">
        <f aca="false">IFERROR((Girdi!D14+Girdi!D17-Girdi!D7-Girdi!D8)/(Girdi!D22-Girdi!D23-Girdi!D24-Girdi!D25-Girdi!D26+Girdi!D29),"")</f>
        <v/>
      </c>
      <c r="E16" s="17" t="str">
        <f aca="false">IFERROR((Girdi!E14+Girdi!E17-Girdi!E7-Girdi!E8)/(Girdi!E22-Girdi!E23-Girdi!E24-Girdi!E25-Girdi!E26+Girdi!E29),"")</f>
        <v/>
      </c>
      <c r="F16" s="18" t="s">
        <v>126</v>
      </c>
    </row>
    <row r="17" customFormat="false" ht="36" hidden="false" customHeight="true" outlineLevel="0" collapsed="false">
      <c r="A17" s="12" t="s">
        <v>127</v>
      </c>
      <c r="B17" s="13" t="s">
        <v>128</v>
      </c>
      <c r="C17" s="17" t="str">
        <f aca="false">IFERROR(Girdi!C28/Girdi!C30,"")</f>
        <v/>
      </c>
      <c r="D17" s="17" t="str">
        <f aca="false">IFERROR(Girdi!D28/Girdi!D30,"")</f>
        <v/>
      </c>
      <c r="E17" s="17" t="str">
        <f aca="false">IFERROR(Girdi!E28/Girdi!E30,"")</f>
        <v/>
      </c>
      <c r="F17" s="18" t="s">
        <v>129</v>
      </c>
    </row>
    <row r="18" customFormat="false" ht="36" hidden="false" customHeight="true" outlineLevel="0" collapsed="false">
      <c r="A18" s="12" t="s">
        <v>130</v>
      </c>
      <c r="B18" s="13" t="s">
        <v>131</v>
      </c>
      <c r="C18" s="20" t="str">
        <f aca="false">IFERROR(Girdi!C14/(Girdi!C14+Girdi!C17),"")</f>
        <v/>
      </c>
      <c r="D18" s="20" t="str">
        <f aca="false">IFERROR(Girdi!D14/(Girdi!D14+Girdi!D17),"")</f>
        <v/>
      </c>
      <c r="E18" s="20" t="str">
        <f aca="false">IFERROR(Girdi!E14/(Girdi!E14+Girdi!E17),"")</f>
        <v/>
      </c>
      <c r="F18" s="18" t="s">
        <v>132</v>
      </c>
    </row>
    <row r="19" customFormat="false" ht="15" hidden="false" customHeight="false" outlineLevel="0" collapsed="false">
      <c r="A19" s="10" t="s">
        <v>133</v>
      </c>
      <c r="B19" s="11"/>
      <c r="C19" s="11"/>
      <c r="D19" s="11"/>
      <c r="E19" s="11"/>
      <c r="F19" s="11"/>
    </row>
    <row r="20" customFormat="false" ht="36" hidden="false" customHeight="true" outlineLevel="0" collapsed="false">
      <c r="A20" s="12" t="s">
        <v>134</v>
      </c>
      <c r="B20" s="13" t="s">
        <v>135</v>
      </c>
      <c r="C20" s="17" t="str">
        <f aca="false">IFERROR(Girdi!C22/Girdi!C13,"")</f>
        <v/>
      </c>
      <c r="D20" s="17" t="str">
        <f aca="false">IFERROR(Girdi!D22/AVERAGE(Girdi!D13,Girdi!C13),"")</f>
        <v/>
      </c>
      <c r="E20" s="17" t="str">
        <f aca="false">IFERROR(Girdi!E22/AVERAGE(Girdi!E13,Girdi!D13),"")</f>
        <v/>
      </c>
      <c r="F20" s="18" t="s">
        <v>136</v>
      </c>
    </row>
    <row r="21" customFormat="false" ht="36" hidden="false" customHeight="true" outlineLevel="0" collapsed="false">
      <c r="A21" s="12" t="s">
        <v>137</v>
      </c>
      <c r="B21" s="13" t="s">
        <v>138</v>
      </c>
      <c r="C21" s="17" t="str">
        <f aca="false">IFERROR(Girdi!C22/Girdi!C12,"")</f>
        <v/>
      </c>
      <c r="D21" s="17" t="str">
        <f aca="false">IFERROR(Girdi!D22/AVERAGE(Girdi!D12,Girdi!C12),"")</f>
        <v/>
      </c>
      <c r="E21" s="17" t="str">
        <f aca="false">IFERROR(Girdi!E22/AVERAGE(Girdi!E12,Girdi!D12),"")</f>
        <v/>
      </c>
      <c r="F21" s="18" t="s">
        <v>139</v>
      </c>
    </row>
    <row r="22" customFormat="false" ht="36" hidden="false" customHeight="true" outlineLevel="0" collapsed="false">
      <c r="A22" s="12" t="s">
        <v>140</v>
      </c>
      <c r="B22" s="13" t="s">
        <v>141</v>
      </c>
      <c r="C22" s="17" t="str">
        <f aca="false">IFERROR(Girdi!C22/Girdi!C9,"")</f>
        <v/>
      </c>
      <c r="D22" s="17" t="str">
        <f aca="false">IFERROR(Girdi!D22/AVERAGE(Girdi!D9,Girdi!C9),"")</f>
        <v/>
      </c>
      <c r="E22" s="17" t="str">
        <f aca="false">IFERROR(Girdi!E22/AVERAGE(Girdi!E9,Girdi!D9),"")</f>
        <v/>
      </c>
      <c r="F22" s="18" t="s">
        <v>142</v>
      </c>
    </row>
    <row r="23" customFormat="false" ht="36" hidden="false" customHeight="true" outlineLevel="0" collapsed="false">
      <c r="A23" s="12" t="s">
        <v>143</v>
      </c>
      <c r="B23" s="13" t="s">
        <v>144</v>
      </c>
      <c r="C23" s="21" t="str">
        <f aca="false">IFERROR(365*Girdi!C9/Girdi!C22,"")</f>
        <v/>
      </c>
      <c r="D23" s="21" t="str">
        <f aca="false">IFERROR(365*AVERAGE(Girdi!D9,Girdi!C9)/Girdi!D22,"")</f>
        <v/>
      </c>
      <c r="E23" s="21" t="str">
        <f aca="false">IFERROR(365*AVERAGE(Girdi!E9,Girdi!D9)/Girdi!E22,"")</f>
        <v/>
      </c>
      <c r="F23" s="18" t="s">
        <v>145</v>
      </c>
    </row>
    <row r="24" customFormat="false" ht="36" hidden="false" customHeight="true" outlineLevel="0" collapsed="false">
      <c r="A24" s="12" t="s">
        <v>146</v>
      </c>
      <c r="B24" s="13" t="s">
        <v>147</v>
      </c>
      <c r="C24" s="17" t="str">
        <f aca="false">IFERROR(Girdi!C23/Girdi!C10,"")</f>
        <v/>
      </c>
      <c r="D24" s="17" t="str">
        <f aca="false">IFERROR(Girdi!D23/AVERAGE(Girdi!D10,Girdi!C10),"")</f>
        <v/>
      </c>
      <c r="E24" s="17" t="str">
        <f aca="false">IFERROR(Girdi!E23/AVERAGE(Girdi!E10,Girdi!D10),"")</f>
        <v/>
      </c>
      <c r="F24" s="18" t="s">
        <v>148</v>
      </c>
    </row>
    <row r="25" customFormat="false" ht="36" hidden="false" customHeight="true" outlineLevel="0" collapsed="false">
      <c r="A25" s="12" t="s">
        <v>149</v>
      </c>
      <c r="B25" s="13" t="s">
        <v>150</v>
      </c>
      <c r="C25" s="21" t="str">
        <f aca="false">IFERROR(365*Girdi!C10/Girdi!C23,"")</f>
        <v/>
      </c>
      <c r="D25" s="21" t="str">
        <f aca="false">IFERROR(365*AVERAGE(Girdi!D10,Girdi!C10)/Girdi!D23,"")</f>
        <v/>
      </c>
      <c r="E25" s="21" t="str">
        <f aca="false">IFERROR(365*AVERAGE(Girdi!E10,Girdi!D10)/Girdi!E23,"")</f>
        <v/>
      </c>
      <c r="F25" s="18" t="s">
        <v>151</v>
      </c>
    </row>
    <row r="26" customFormat="false" ht="36" hidden="false" customHeight="true" outlineLevel="0" collapsed="false">
      <c r="A26" s="12" t="s">
        <v>152</v>
      </c>
      <c r="B26" s="13" t="s">
        <v>153</v>
      </c>
      <c r="C26" s="21" t="str">
        <f aca="false">IFERROR(365*Girdi!C15/Girdi!C23,"")</f>
        <v/>
      </c>
      <c r="D26" s="21" t="str">
        <f aca="false">IFERROR(365*AVERAGE(Girdi!D15,Girdi!C15)/Girdi!D23,"")</f>
        <v/>
      </c>
      <c r="E26" s="21" t="str">
        <f aca="false">IFERROR(365*AVERAGE(Girdi!E15,Girdi!D15)/Girdi!E23,"")</f>
        <v/>
      </c>
      <c r="F26" s="18" t="s">
        <v>154</v>
      </c>
    </row>
    <row r="27" customFormat="false" ht="36" hidden="false" customHeight="true" outlineLevel="0" collapsed="false">
      <c r="A27" s="12" t="s">
        <v>155</v>
      </c>
      <c r="B27" s="13" t="s">
        <v>156</v>
      </c>
      <c r="C27" s="21" t="str">
        <f aca="false">IFERROR(C23+C25-C26,"")</f>
        <v/>
      </c>
      <c r="D27" s="21" t="str">
        <f aca="false">IFERROR(D23+D25-D26,"")</f>
        <v/>
      </c>
      <c r="E27" s="21" t="str">
        <f aca="false">IFERROR(E23+E25-E26,"")</f>
        <v/>
      </c>
      <c r="F27" s="18" t="s">
        <v>157</v>
      </c>
    </row>
    <row r="28" customFormat="false" ht="15" hidden="false" customHeight="false" outlineLevel="0" collapsed="false">
      <c r="A28" s="10" t="s">
        <v>158</v>
      </c>
      <c r="B28" s="11"/>
      <c r="C28" s="11"/>
      <c r="D28" s="11"/>
      <c r="E28" s="11"/>
      <c r="F28" s="11"/>
    </row>
    <row r="29" customFormat="false" ht="36" hidden="false" customHeight="true" outlineLevel="0" collapsed="false">
      <c r="A29" s="12" t="s">
        <v>159</v>
      </c>
      <c r="B29" s="13" t="s">
        <v>160</v>
      </c>
      <c r="C29" s="20" t="str">
        <f aca="false">IFERROR((Girdi!C22-Girdi!C23)/Girdi!C22,"")</f>
        <v/>
      </c>
      <c r="D29" s="20" t="str">
        <f aca="false">IFERROR((Girdi!D22-Girdi!D23)/Girdi!D22,"")</f>
        <v/>
      </c>
      <c r="E29" s="20" t="str">
        <f aca="false">IFERROR((Girdi!E22-Girdi!E23)/Girdi!E22,"")</f>
        <v/>
      </c>
      <c r="F29" s="18" t="s">
        <v>161</v>
      </c>
    </row>
    <row r="30" customFormat="false" ht="36" hidden="false" customHeight="true" outlineLevel="0" collapsed="false">
      <c r="A30" s="12" t="s">
        <v>162</v>
      </c>
      <c r="B30" s="13" t="s">
        <v>163</v>
      </c>
      <c r="C30" s="20" t="str">
        <f aca="false">IFERROR((Girdi!C22-Girdi!C23-Girdi!C24-Girdi!C25-Girdi!C26+Girdi!C29)/Girdi!C22,"")</f>
        <v/>
      </c>
      <c r="D30" s="20" t="str">
        <f aca="false">IFERROR((Girdi!D22-Girdi!D23-Girdi!D24-Girdi!D25-Girdi!D26+Girdi!D29)/Girdi!D22,"")</f>
        <v/>
      </c>
      <c r="E30" s="20" t="str">
        <f aca="false">IFERROR((Girdi!E22-Girdi!E23-Girdi!E24-Girdi!E25-Girdi!E26+Girdi!E29)/Girdi!E22,"")</f>
        <v/>
      </c>
      <c r="F30" s="18" t="s">
        <v>164</v>
      </c>
    </row>
    <row r="31" customFormat="false" ht="36" hidden="false" customHeight="true" outlineLevel="0" collapsed="false">
      <c r="A31" s="12" t="s">
        <v>165</v>
      </c>
      <c r="B31" s="13" t="s">
        <v>166</v>
      </c>
      <c r="C31" s="20" t="str">
        <f aca="false">IFERROR(Girdi!C27/Girdi!C22,"")</f>
        <v/>
      </c>
      <c r="D31" s="20" t="str">
        <f aca="false">IFERROR(Girdi!D27/Girdi!D22,"")</f>
        <v/>
      </c>
      <c r="E31" s="20" t="str">
        <f aca="false">IFERROR(Girdi!E27/Girdi!E22,"")</f>
        <v/>
      </c>
      <c r="F31" s="18" t="s">
        <v>167</v>
      </c>
    </row>
    <row r="32" customFormat="false" ht="36" hidden="false" customHeight="true" outlineLevel="0" collapsed="false">
      <c r="A32" s="12" t="s">
        <v>168</v>
      </c>
      <c r="B32" s="13" t="s">
        <v>169</v>
      </c>
      <c r="C32" s="20" t="str">
        <f aca="false">IFERROR(Girdi!C34/Girdi!C22,"")</f>
        <v/>
      </c>
      <c r="D32" s="20" t="str">
        <f aca="false">IFERROR(Girdi!D34/Girdi!D22,"")</f>
        <v/>
      </c>
      <c r="E32" s="20" t="str">
        <f aca="false">IFERROR(Girdi!E34/Girdi!E22,"")</f>
        <v/>
      </c>
      <c r="F32" s="18" t="s">
        <v>170</v>
      </c>
    </row>
    <row r="33" customFormat="false" ht="36" hidden="false" customHeight="true" outlineLevel="0" collapsed="false">
      <c r="A33" s="12" t="s">
        <v>171</v>
      </c>
      <c r="B33" s="13" t="s">
        <v>172</v>
      </c>
      <c r="C33" s="20" t="str">
        <f aca="false">IFERROR(Girdi!C34/Girdi!C19,"")</f>
        <v/>
      </c>
      <c r="D33" s="20" t="str">
        <f aca="false">IFERROR(Girdi!D34/AVERAGE(Girdi!D19,Girdi!C19),"")</f>
        <v/>
      </c>
      <c r="E33" s="20" t="str">
        <f aca="false">IFERROR(Girdi!E34/AVERAGE(Girdi!E19,Girdi!D19),"")</f>
        <v/>
      </c>
      <c r="F33" s="18" t="s">
        <v>173</v>
      </c>
    </row>
    <row r="34" customFormat="false" ht="36" hidden="false" customHeight="true" outlineLevel="0" collapsed="false">
      <c r="A34" s="12" t="s">
        <v>174</v>
      </c>
      <c r="B34" s="13" t="s">
        <v>175</v>
      </c>
      <c r="C34" s="20" t="str">
        <f aca="false">IFERROR(Girdi!C33/Girdi!C13,"")</f>
        <v/>
      </c>
      <c r="D34" s="20" t="str">
        <f aca="false">IFERROR(Girdi!D33/AVERAGE(Girdi!D13,Girdi!C13),"")</f>
        <v/>
      </c>
      <c r="E34" s="20" t="str">
        <f aca="false">IFERROR(Girdi!E33/AVERAGE(Girdi!E13,Girdi!D13),"")</f>
        <v/>
      </c>
      <c r="F34" s="18" t="s">
        <v>176</v>
      </c>
    </row>
    <row r="35" customFormat="false" ht="36" hidden="false" customHeight="true" outlineLevel="0" collapsed="false">
      <c r="A35" s="12" t="s">
        <v>177</v>
      </c>
      <c r="B35" s="13" t="s">
        <v>178</v>
      </c>
      <c r="C35" s="20" t="str">
        <f aca="false">IFERROR(Girdi!C32/Girdi!C31,"")</f>
        <v/>
      </c>
      <c r="D35" s="20" t="str">
        <f aca="false">IFERROR(Girdi!D32/Girdi!D31,"")</f>
        <v/>
      </c>
      <c r="E35" s="20" t="str">
        <f aca="false">IFERROR(Girdi!E32/Girdi!E31,"")</f>
        <v/>
      </c>
      <c r="F35" s="18" t="s">
        <v>179</v>
      </c>
    </row>
    <row r="36" customFormat="false" ht="36" hidden="false" customHeight="true" outlineLevel="0" collapsed="false">
      <c r="A36" s="12" t="s">
        <v>180</v>
      </c>
      <c r="B36" s="13" t="s">
        <v>181</v>
      </c>
      <c r="C36" s="19" t="str">
        <f aca="false">IFERROR(Girdi!C27*(1-Girdi!C32/Girdi!C31),"")</f>
        <v/>
      </c>
      <c r="D36" s="19" t="str">
        <f aca="false">IFERROR(Girdi!D27*(1-Girdi!D32/Girdi!D31),"")</f>
        <v/>
      </c>
      <c r="E36" s="19" t="str">
        <f aca="false">IFERROR(Girdi!E27*(1-Girdi!E32/Girdi!E31),"")</f>
        <v/>
      </c>
      <c r="F36" s="18" t="s">
        <v>182</v>
      </c>
    </row>
    <row r="37" customFormat="false" ht="36" hidden="false" customHeight="true" outlineLevel="0" collapsed="false">
      <c r="A37" s="12" t="s">
        <v>183</v>
      </c>
      <c r="B37" s="13" t="s">
        <v>184</v>
      </c>
      <c r="C37" s="19" t="n">
        <f aca="false">IFERROR(Girdi!C20+(Girdi!C14+Girdi!C17-Girdi!C7-Girdi!C8),"")</f>
        <v>0</v>
      </c>
      <c r="D37" s="19" t="n">
        <f aca="false">IFERROR(Girdi!D20+(Girdi!D14+Girdi!D17-Girdi!D7-Girdi!D8),"")</f>
        <v>0</v>
      </c>
      <c r="E37" s="19" t="n">
        <f aca="false">IFERROR(Girdi!E20+(Girdi!E14+Girdi!E17-Girdi!E7-Girdi!E8),"")</f>
        <v>0</v>
      </c>
      <c r="F37" s="18" t="s">
        <v>185</v>
      </c>
    </row>
    <row r="38" customFormat="false" ht="36" hidden="false" customHeight="true" outlineLevel="0" collapsed="false">
      <c r="A38" s="12" t="s">
        <v>186</v>
      </c>
      <c r="B38" s="13" t="s">
        <v>187</v>
      </c>
      <c r="C38" s="20" t="str">
        <f aca="false">IFERROR(C36/C37,"")</f>
        <v/>
      </c>
      <c r="D38" s="20" t="str">
        <f aca="false">IFERROR(D36/AVERAGE(D37,C37),"")</f>
        <v/>
      </c>
      <c r="E38" s="20" t="str">
        <f aca="false">IFERROR(E36/AVERAGE(E37,D37),"")</f>
        <v/>
      </c>
      <c r="F38" s="18" t="s">
        <v>188</v>
      </c>
    </row>
    <row r="39" customFormat="false" ht="15" hidden="false" customHeight="false" outlineLevel="0" collapsed="false">
      <c r="A39" s="10" t="s">
        <v>189</v>
      </c>
      <c r="B39" s="11"/>
      <c r="C39" s="11"/>
      <c r="D39" s="11"/>
      <c r="E39" s="11"/>
      <c r="F39" s="11"/>
    </row>
    <row r="40" customFormat="false" ht="36" hidden="false" customHeight="true" outlineLevel="0" collapsed="false">
      <c r="A40" s="12" t="s">
        <v>190</v>
      </c>
      <c r="B40" s="13" t="s">
        <v>191</v>
      </c>
      <c r="C40" s="19" t="n">
        <f aca="false">IFERROR(Girdi!C36-Girdi!C37,"")</f>
        <v>0</v>
      </c>
      <c r="D40" s="19" t="n">
        <f aca="false">IFERROR(Girdi!D36-Girdi!D37,"")</f>
        <v>0</v>
      </c>
      <c r="E40" s="19" t="n">
        <f aca="false">IFERROR(Girdi!E36-Girdi!E37,"")</f>
        <v>0</v>
      </c>
      <c r="F40" s="18" t="s">
        <v>192</v>
      </c>
    </row>
    <row r="41" customFormat="false" ht="36" hidden="false" customHeight="true" outlineLevel="0" collapsed="false">
      <c r="A41" s="12" t="s">
        <v>193</v>
      </c>
      <c r="B41" s="13" t="s">
        <v>194</v>
      </c>
      <c r="C41" s="20" t="str">
        <f aca="false">IFERROR((Girdi!C36-Girdi!C37)/Girdi!C22,"")</f>
        <v/>
      </c>
      <c r="D41" s="20" t="str">
        <f aca="false">IFERROR((Girdi!D36-Girdi!D37)/Girdi!D22,"")</f>
        <v/>
      </c>
      <c r="E41" s="20" t="str">
        <f aca="false">IFERROR((Girdi!E36-Girdi!E37)/Girdi!E22,"")</f>
        <v/>
      </c>
      <c r="F41" s="18" t="s">
        <v>195</v>
      </c>
    </row>
    <row r="42" customFormat="false" ht="36" hidden="false" customHeight="true" outlineLevel="0" collapsed="false">
      <c r="A42" s="12" t="s">
        <v>196</v>
      </c>
      <c r="B42" s="13" t="s">
        <v>197</v>
      </c>
      <c r="C42" s="17" t="str">
        <f aca="false">IFERROR(Girdi!C36/Girdi!C33,"")</f>
        <v/>
      </c>
      <c r="D42" s="17" t="str">
        <f aca="false">IFERROR(Girdi!D36/Girdi!D33,"")</f>
        <v/>
      </c>
      <c r="E42" s="17" t="str">
        <f aca="false">IFERROR(Girdi!E36/Girdi!E33,"")</f>
        <v/>
      </c>
      <c r="F42" s="18" t="s">
        <v>198</v>
      </c>
    </row>
    <row r="43" customFormat="false" ht="36" hidden="false" customHeight="true" outlineLevel="0" collapsed="false">
      <c r="A43" s="12" t="s">
        <v>199</v>
      </c>
      <c r="B43" s="13" t="s">
        <v>199</v>
      </c>
      <c r="C43" s="17" t="str">
        <f aca="false">IFERROR(Girdi!C37/Girdi!C29,"")</f>
        <v/>
      </c>
      <c r="D43" s="17" t="str">
        <f aca="false">IFERROR(Girdi!D37/Girdi!D29,"")</f>
        <v/>
      </c>
      <c r="E43" s="17" t="str">
        <f aca="false">IFERROR(Girdi!E37/Girdi!E29,"")</f>
        <v/>
      </c>
      <c r="F43" s="18" t="s">
        <v>200</v>
      </c>
    </row>
    <row r="44" customFormat="false" ht="36" hidden="false" customHeight="true" outlineLevel="0" collapsed="false">
      <c r="A44" s="12" t="s">
        <v>201</v>
      </c>
      <c r="B44" s="13" t="s">
        <v>201</v>
      </c>
      <c r="C44" s="20" t="str">
        <f aca="false">IFERROR(Girdi!C37/Girdi!C22,"")</f>
        <v/>
      </c>
      <c r="D44" s="20" t="str">
        <f aca="false">IFERROR(Girdi!D37/Girdi!D22,"")</f>
        <v/>
      </c>
      <c r="E44" s="20" t="str">
        <f aca="false">IFERROR(Girdi!E37/Girdi!E22,"")</f>
        <v/>
      </c>
      <c r="F44" s="18" t="s">
        <v>202</v>
      </c>
    </row>
    <row r="45" customFormat="false" ht="36" hidden="false" customHeight="true" outlineLevel="0" collapsed="false">
      <c r="A45" s="12" t="s">
        <v>203</v>
      </c>
      <c r="B45" s="13" t="s">
        <v>204</v>
      </c>
      <c r="C45" s="20" t="str">
        <f aca="false">IFERROR(Girdi!C38/(Girdi!C36-Girdi!C37),"")</f>
        <v/>
      </c>
      <c r="D45" s="20" t="str">
        <f aca="false">IFERROR(Girdi!D38/(Girdi!D36-Girdi!D37),"")</f>
        <v/>
      </c>
      <c r="E45" s="20" t="str">
        <f aca="false">IFERROR(Girdi!E38/(Girdi!E36-Girdi!E37),"")</f>
        <v/>
      </c>
      <c r="F45" s="18" t="s">
        <v>205</v>
      </c>
    </row>
    <row r="47" customFormat="false" ht="15" hidden="false" customHeight="false" outlineLevel="0" collapsed="false">
      <c r="A47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8" t="s">
        <v>208</v>
      </c>
      <c r="B3" s="8"/>
      <c r="C3" s="8" t="s">
        <v>23</v>
      </c>
      <c r="D3" s="8" t="s">
        <v>24</v>
      </c>
      <c r="E3" s="8" t="s">
        <v>25</v>
      </c>
    </row>
    <row r="4" customFormat="false" ht="15" hidden="false" customHeight="false" outlineLevel="0" collapsed="false">
      <c r="A4" s="6" t="s">
        <v>209</v>
      </c>
      <c r="C4" s="22" t="str">
        <f aca="false">IF(Girdi!C13="","",IF(ABS(Girdi!C13-Girdi!C16-Girdi!C18-Girdi!C20)&lt;=0.01*Girdi!C13,"TAMAM","UYARI"))</f>
        <v/>
      </c>
      <c r="D4" s="22" t="str">
        <f aca="false">IF(Girdi!D13="","",IF(ABS(Girdi!D13-Girdi!D16-Girdi!D18-Girdi!D20)&lt;=0.01*Girdi!D13,"TAMAM","UYARI"))</f>
        <v/>
      </c>
      <c r="E4" s="22" t="str">
        <f aca="false">IF(Girdi!E13="","",IF(ABS(Girdi!E13-Girdi!E16-Girdi!E18-Girdi!E20)&lt;=0.01*Girdi!E13,"TAMAM","UYARI"))</f>
        <v/>
      </c>
    </row>
    <row r="5" customFormat="false" ht="15" hidden="false" customHeight="false" outlineLevel="0" collapsed="false">
      <c r="A5" s="6" t="s">
        <v>210</v>
      </c>
      <c r="C5" s="22" t="str">
        <f aca="false">IF(Girdi!C13="","",IF(Girdi!C11&lt;Girdi!C13,"TAMAM","UYARI"))</f>
        <v/>
      </c>
      <c r="D5" s="22" t="str">
        <f aca="false">IF(Girdi!D13="","",IF(Girdi!D11&lt;Girdi!D13,"TAMAM","UYARI"))</f>
        <v/>
      </c>
      <c r="E5" s="22" t="str">
        <f aca="false">IF(Girdi!E13="","",IF(Girdi!E11&lt;Girdi!E13,"TAMAM","UYARI"))</f>
        <v/>
      </c>
    </row>
    <row r="6" customFormat="false" ht="15" hidden="false" customHeight="false" outlineLevel="0" collapsed="false">
      <c r="A6" s="6" t="s">
        <v>211</v>
      </c>
      <c r="C6" s="22" t="str">
        <f aca="false">IF(Girdi!C20="","",IF(Girdi!C19&lt;=Girdi!C20+0.5,"TAMAM","UYARI"))</f>
        <v/>
      </c>
      <c r="D6" s="22" t="str">
        <f aca="false">IF(Girdi!D20="","",IF(Girdi!D19&lt;=Girdi!D20+0.5,"TAMAM","UYARI"))</f>
        <v/>
      </c>
      <c r="E6" s="22" t="str">
        <f aca="false">IF(Girdi!E20="","",IF(Girdi!E19&lt;=Girdi!E20+0.5,"TAMAM","UYARI"))</f>
        <v/>
      </c>
    </row>
    <row r="7" customFormat="false" ht="15" hidden="false" customHeight="false" outlineLevel="0" collapsed="false">
      <c r="A7" s="6" t="s">
        <v>212</v>
      </c>
      <c r="C7" s="22" t="str">
        <f aca="false">IF(Girdi!C22="","",IF(AND(Girdi!C23&gt;=0,Girdi!C24&gt;=0,Girdi!C25&gt;=0),"TAMAM","UYARI"))</f>
        <v/>
      </c>
      <c r="D7" s="22" t="str">
        <f aca="false">IF(Girdi!D22="","",IF(AND(Girdi!D23&gt;=0,Girdi!D24&gt;=0,Girdi!D25&gt;=0),"TAMAM","UYARI"))</f>
        <v/>
      </c>
      <c r="E7" s="22" t="str">
        <f aca="false">IF(Girdi!E22="","",IF(AND(Girdi!E23&gt;=0,Girdi!E24&gt;=0,Girdi!E25&gt;=0),"TAMAM","UYARI"))</f>
        <v/>
      </c>
    </row>
    <row r="8" customFormat="false" ht="15" hidden="false" customHeight="false" outlineLevel="0" collapsed="false">
      <c r="A8" s="6" t="s">
        <v>213</v>
      </c>
      <c r="C8" s="22" t="str">
        <f aca="false">IF(Girdi!C36="","",IF(AND(Girdi!C37&gt;=0,Girdi!C38&gt;=0),"TAMAM","UYARI"))</f>
        <v/>
      </c>
      <c r="D8" s="22" t="str">
        <f aca="false">IF(Girdi!D36="","",IF(AND(Girdi!D37&gt;=0,Girdi!D38&gt;=0),"TAMAM","UYARI"))</f>
        <v/>
      </c>
      <c r="E8" s="22" t="str">
        <f aca="false">IF(Girdi!E36="","",IF(AND(Girdi!E37&gt;=0,Girdi!E38&gt;=0),"TAMAM","UYARI"))</f>
        <v/>
      </c>
    </row>
    <row r="10" customFormat="false" ht="15" hidden="false" customHeight="false" outlineLevel="0" collapsed="false">
      <c r="A10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2026-10-05T10:35:23Z</dcterms:created>
  <dc:creator>openpyxl</dc:creator>
  <dc:description/>
  <dc:language>en-US</dc:language>
  <cp:lastModifiedBy/>
  <dcterms:modified xsi:type="dcterms:W3CDTF">2026-10-05T10:35:23Z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