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sıl Kullanılır" sheetId="1" state="visible" r:id="rId3"/>
    <sheet name="Girdi" sheetId="2" state="visible" r:id="rId4"/>
    <sheet name="Altman Z" sheetId="3" state="visible" r:id="rId5"/>
    <sheet name="Beneish 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9" authorId="0">
      <text>
        <r>
          <rPr>
            <sz val="10"/>
            <rFont val="Arial"/>
            <family val="2"/>
          </rPr>
          <t xml:space="preserve">Kapanış fiyatları 2023 için 29.12.2023, 2024 için 31.12.2024, 2025 için 31.12.2025 (bedelsiz düzeltilmiş). Pay adedi 2.798.078.602.</t>
        </r>
      </text>
    </comment>
    <comment ref="C30" authorId="0">
      <text>
        <r>
          <rPr>
            <sz val="10"/>
            <rFont val="Arial"/>
            <family val="2"/>
          </rPr>
          <t xml:space="preserve">Katsayı = TÜFE(Ara 2025) / TÜFE(Ara yıl) x 1.1776. Son çarpan Fintables tutarlarının faaliyet raporundaki 2025/12 alım gücü tutarlarına oranıdır (hasılat 220.428 / 187.185).</t>
        </r>
      </text>
    </comment>
    <comment ref="D29" authorId="0">
      <text>
        <r>
          <rPr>
            <sz val="10"/>
            <rFont val="Arial"/>
            <family val="2"/>
          </rPr>
          <t xml:space="preserve">Kapanış fiyatları 2023 için 29.12.2023, 2024 için 31.12.2024, 2025 için 31.12.2025 (bedelsiz düzeltilmiş). Pay adedi 2.798.078.602.</t>
        </r>
      </text>
    </comment>
    <comment ref="D30" authorId="0">
      <text>
        <r>
          <rPr>
            <sz val="10"/>
            <rFont val="Arial"/>
            <family val="2"/>
          </rPr>
          <t xml:space="preserve">Katsayı = TÜFE(Ara 2025) / TÜFE(Ara yıl) x 1.1776. Son çarpan Fintables tutarlarının faaliyet raporundaki 2025/12 alım gücü tutarlarına oranıdır (hasılat 220.428 / 187.185).</t>
        </r>
      </text>
    </comment>
    <comment ref="E29" authorId="0">
      <text>
        <r>
          <rPr>
            <sz val="10"/>
            <rFont val="Arial"/>
            <family val="2"/>
          </rPr>
          <t xml:space="preserve">Kapanış fiyatları 2023 için 29.12.2023, 2024 için 31.12.2024, 2025 için 31.12.2025 (bedelsiz düzeltilmiş). Pay adedi 2.798.078.602.</t>
        </r>
      </text>
    </comment>
    <comment ref="E30" authorId="0">
      <text>
        <r>
          <rPr>
            <sz val="10"/>
            <rFont val="Arial"/>
            <family val="2"/>
          </rPr>
          <t xml:space="preserve">Katsayı = TÜFE(Ara 2025) / TÜFE(Ara yıl) x 1.1776. Son çarpan Fintables tutarlarının faaliyet raporundaki 2025/12 alım gücü tutarlarına oranıdır (hasılat 220.428 / 187.185).</t>
        </r>
      </text>
    </comment>
  </commentList>
</comments>
</file>

<file path=xl/sharedStrings.xml><?xml version="1.0" encoding="utf-8"?>
<sst xmlns="http://schemas.openxmlformats.org/spreadsheetml/2006/main" count="194" uniqueCount="165">
  <si>
    <t xml:space="preserve">Altman Z ve Beneish M Hesap Şablonu, CCOLA</t>
  </si>
  <si>
    <t xml:space="preserve">Bilanço Okuma Eğitimi, ek materyal 5</t>
  </si>
  <si>
    <t xml:space="preserve">1. Girdi sayfasında her satırın yanında rakamı tablonun hangi kaleminden alacağınız ve hangi bileşende kullanıldığı yazıyor.</t>
  </si>
  <si>
    <t xml:space="preserve">2. En az iki ardışık yıl girin. Beneish M her yılı bir önceki yılla kıyasladığı için ilk dönem sütununda hesaplanmaz.</t>
  </si>
  <si>
    <t xml:space="preserve">3. Tutarları aynı birimde girin (şablon milyon TL varsayıyor). Giderleri pozitif girin.</t>
  </si>
  <si>
    <t xml:space="preserve">4. Altman Z orijinal modeli halka açık sanayi şirketleri için geliştirildi. Hizmet, ticaret ve gelişmekte olan piyasa şirketlerinde Z'' modeline de bakın.</t>
  </si>
  <si>
    <t xml:space="preserve">5. Beneish M 8 değişkenli modeldir. -1,78 eşiğinin üzeri kar manipülasyonu olasılığının yüksek olduğu bölgedir. Bazı kaynaklar daha temkinli -2,22 eşiğini kullanır.</t>
  </si>
  <si>
    <t xml:space="preserve">6. Bu iki skor tarama aracıdır, hüküm değildir. Eşiği aşan şirkette hangi endeksin skoru yükselttiğine bakın ve ilgili dipnotu okuyun.</t>
  </si>
  <si>
    <t xml:space="preserve">7. TMS 29 uygulayan şirketlerde bilanço rakamları raporlama tarihinin satın alma gücüyle ifade edilir. Piyasa değerini de aynı alım gücüne taşımak için endeksleme katsayısını kullanın, aksi halde X4 bozulur.</t>
  </si>
  <si>
    <t xml:space="preserve">8. Bankalar, sigorta şirketleri ve holdingler için bu modeller uygun değildir.</t>
  </si>
  <si>
    <t xml:space="preserve">Renk kodları</t>
  </si>
  <si>
    <t xml:space="preserve">Mavi yazı, sarı zemin</t>
  </si>
  <si>
    <t xml:space="preserve">Sizin dolduracağınız girdi hücresi</t>
  </si>
  <si>
    <t xml:space="preserve">Siyah yazı</t>
  </si>
  <si>
    <t xml:space="preserve">Formül, elle değiştirmeyin</t>
  </si>
  <si>
    <t xml:space="preserve">Yeşil yazı</t>
  </si>
  <si>
    <t xml:space="preserve">Başka sayfadan gelen bağlantı</t>
  </si>
  <si>
    <t xml:space="preserve">Girdi Tablosu (milyon TL), CCOLA</t>
  </si>
  <si>
    <t xml:space="preserve">Sarı hücreleri doldurun. En eski dönem solda.</t>
  </si>
  <si>
    <t xml:space="preserve">Girdi</t>
  </si>
  <si>
    <t xml:space="preserve">Finansal tablo kalemi</t>
  </si>
  <si>
    <t xml:space="preserve">Dönem 1</t>
  </si>
  <si>
    <t xml:space="preserve">Dönem 2</t>
  </si>
  <si>
    <t xml:space="preserve">Dönem 3</t>
  </si>
  <si>
    <t xml:space="preserve">Kullanıldığı yer</t>
  </si>
  <si>
    <t xml:space="preserve">Dönem adı</t>
  </si>
  <si>
    <t xml:space="preserve">2023/12</t>
  </si>
  <si>
    <t xml:space="preserve">2024/12</t>
  </si>
  <si>
    <t xml:space="preserve">2025/12</t>
  </si>
  <si>
    <t xml:space="preserve">BİLANÇO</t>
  </si>
  <si>
    <t xml:space="preserve">Toplam dönen varlıklar</t>
  </si>
  <si>
    <t xml:space="preserve">Bilanço, Toplam Dönen Varlıklar</t>
  </si>
  <si>
    <t xml:space="preserve">Altman X1, Beneish AQI</t>
  </si>
  <si>
    <t xml:space="preserve">Toplam varlıklar</t>
  </si>
  <si>
    <t xml:space="preserve">Bilanço, Toplam Varlıklar</t>
  </si>
  <si>
    <t xml:space="preserve">Altman tümü, Beneish AQI TATA LVGI</t>
  </si>
  <si>
    <t xml:space="preserve">Toplam kısa vadeli yükümlülükler</t>
  </si>
  <si>
    <t xml:space="preserve">Bilanço, Toplam Kısa Vadeli Yükümlülükler</t>
  </si>
  <si>
    <t xml:space="preserve">Altman X1 X4, Beneish LVGI</t>
  </si>
  <si>
    <t xml:space="preserve">Toplam uzun vadeli yükümlülükler</t>
  </si>
  <si>
    <t xml:space="preserve">Bilanço, Toplam Uzun Vadeli Yükümlülükler</t>
  </si>
  <si>
    <t xml:space="preserve">Altman X4</t>
  </si>
  <si>
    <t xml:space="preserve">Uzun vadeli finansal borçlar</t>
  </si>
  <si>
    <t xml:space="preserve">Bilanço, UV Yükümlülükler, Finansal Borçlar</t>
  </si>
  <si>
    <t xml:space="preserve">Beneish LVGI</t>
  </si>
  <si>
    <t xml:space="preserve">Toplam özkaynaklar (defter değeri)</t>
  </si>
  <si>
    <t xml:space="preserve">Bilanço, Toplam Özkaynaklar</t>
  </si>
  <si>
    <t xml:space="preserve">Altman Z'' X4</t>
  </si>
  <si>
    <t xml:space="preserve">Geçmiş yıllar karları (zararları)</t>
  </si>
  <si>
    <t xml:space="preserve">Bilanço, Özkaynaklar, Geçmiş Yıllar Kar/Zararları</t>
  </si>
  <si>
    <t xml:space="preserve">Altman X2</t>
  </si>
  <si>
    <t xml:space="preserve">Dönem net karı (bilançodaki)</t>
  </si>
  <si>
    <t xml:space="preserve">Bilanço, Özkaynaklar, Dönem Net Kar/Zararı</t>
  </si>
  <si>
    <t xml:space="preserve">Ticari alacaklar</t>
  </si>
  <si>
    <t xml:space="preserve">Bilanço, Dönen Varlıklar, Ticari Alacaklar</t>
  </si>
  <si>
    <t xml:space="preserve">Beneish DSRI</t>
  </si>
  <si>
    <t xml:space="preserve">Maddi duran varlıklar (net)</t>
  </si>
  <si>
    <t xml:space="preserve">Bilanço, Duran Varlıklar, Maddi Duran Varlıklar</t>
  </si>
  <si>
    <t xml:space="preserve">Beneish AQI DEPI</t>
  </si>
  <si>
    <t xml:space="preserve">Finansal yatırımlar (KV + UV)</t>
  </si>
  <si>
    <t xml:space="preserve">Bilanço, Finansal Yatırımlar (dönen ve duran toplamı)</t>
  </si>
  <si>
    <t xml:space="preserve">Beneish AQI</t>
  </si>
  <si>
    <t xml:space="preserve">GELİR TABLOSU (giderleri pozitif girin)</t>
  </si>
  <si>
    <t xml:space="preserve">Hasılat</t>
  </si>
  <si>
    <t xml:space="preserve">Gelir Tablosu, Hasılat</t>
  </si>
  <si>
    <t xml:space="preserve">Altman X5, Beneish DSRI GMI SGI SGAI</t>
  </si>
  <si>
    <t xml:space="preserve">Satışların maliyeti</t>
  </si>
  <si>
    <t xml:space="preserve">Gelir Tablosu, Satışların Maliyeti (-)</t>
  </si>
  <si>
    <t xml:space="preserve">Beneish GMI</t>
  </si>
  <si>
    <t xml:space="preserve">Genel yönetim giderleri</t>
  </si>
  <si>
    <t xml:space="preserve">Gelir Tablosu, Genel Yönetim Giderleri (-)</t>
  </si>
  <si>
    <t xml:space="preserve">Beneish SGAI</t>
  </si>
  <si>
    <t xml:space="preserve">Pazarlama, satış ve dağıtım giderleri</t>
  </si>
  <si>
    <t xml:space="preserve">Gelir Tablosu, Pazarlama Giderleri (-)</t>
  </si>
  <si>
    <t xml:space="preserve">Faiz ve vergi öncesi kar (FVÖK, EBIT)</t>
  </si>
  <si>
    <t xml:space="preserve">Gelir Tablosu, Finansman Geliri (Gideri) Öncesi Faaliyet Karı</t>
  </si>
  <si>
    <t xml:space="preserve">Altman X3</t>
  </si>
  <si>
    <t xml:space="preserve">Sürdürülen faaliyetler dönem karı</t>
  </si>
  <si>
    <t xml:space="preserve">Gelir Tablosu, Sürdürülen Faaliyetler Dönem Karı</t>
  </si>
  <si>
    <t xml:space="preserve">Beneish TATA</t>
  </si>
  <si>
    <t xml:space="preserve">NAKİT AKIŞ TABLOSU</t>
  </si>
  <si>
    <t xml:space="preserve">Amortisman ve itfa payları</t>
  </si>
  <si>
    <t xml:space="preserve">Nakit Akış Tablosu, Amortisman ve İtfa Gideri ile İlgili Düzeltmeler</t>
  </si>
  <si>
    <t xml:space="preserve">Beneish DEPI</t>
  </si>
  <si>
    <t xml:space="preserve">İşletme faaliyetlerinden nakit akışı</t>
  </si>
  <si>
    <t xml:space="preserve">Nakit Akış Tablosu, A. İşletme Faaliyetlerinden Nakit Akışları</t>
  </si>
  <si>
    <t xml:space="preserve">PİYASA VERİSİ</t>
  </si>
  <si>
    <t xml:space="preserve">Yıl sonu piyasa değeri (nominal)</t>
  </si>
  <si>
    <t xml:space="preserve">Bilanço tarihindeki kapanış fiyatı x Pay adedi</t>
  </si>
  <si>
    <t xml:space="preserve">Piyasa değeri endeksleme katsayısı</t>
  </si>
  <si>
    <t xml:space="preserve">TMS 29 uygulanmıyorsa 1. Uygulanıyorsa tabloların satın alma gücü tarihine taşıyan TÜFE katsayısı</t>
  </si>
  <si>
    <t xml:space="preserve">TÜRETİLEN KALEMLER (formül)</t>
  </si>
  <si>
    <t xml:space="preserve">Piyasa değeri (tablo alım gücüyle)</t>
  </si>
  <si>
    <t xml:space="preserve">Toplam yükümlülükler</t>
  </si>
  <si>
    <t xml:space="preserve">Dağıtılmamış karlar</t>
  </si>
  <si>
    <t xml:space="preserve">Net çalışma sermayesi</t>
  </si>
  <si>
    <t xml:space="preserve">Satış, genel ve yönetim giderleri</t>
  </si>
  <si>
    <t xml:space="preserve">Kaynak KAP finansal tabloları ve BIST kapanış fiyatları, Fintables üzerinden 05.10.2026 tarihinde alındı. Tablolar 2026/06 alım gücüyle endekslidir.</t>
  </si>
  <si>
    <t xml:space="preserve">Altman Z Skoru, CCOLA</t>
  </si>
  <si>
    <t xml:space="preserve">Tüm hücreler formüldür.</t>
  </si>
  <si>
    <t xml:space="preserve">Bileşen</t>
  </si>
  <si>
    <t xml:space="preserve">Tanım</t>
  </si>
  <si>
    <t xml:space="preserve">Katsayı</t>
  </si>
  <si>
    <t xml:space="preserve">ORİJİNAL MODEL (1968, halka açık sanayi şirketi)</t>
  </si>
  <si>
    <t xml:space="preserve">X1</t>
  </si>
  <si>
    <t xml:space="preserve">Net çalışma sermayesi / Toplam varlıklar</t>
  </si>
  <si>
    <t xml:space="preserve">X2</t>
  </si>
  <si>
    <t xml:space="preserve">Dağıtılmamış karlar / Toplam varlıklar</t>
  </si>
  <si>
    <t xml:space="preserve">X3</t>
  </si>
  <si>
    <t xml:space="preserve">FVÖK / Toplam varlıklar</t>
  </si>
  <si>
    <t xml:space="preserve">X4</t>
  </si>
  <si>
    <t xml:space="preserve">Piyasa değeri / Toplam yükümlülükler</t>
  </si>
  <si>
    <t xml:space="preserve">X5</t>
  </si>
  <si>
    <t xml:space="preserve">Hasılat / Toplam varlıklar</t>
  </si>
  <si>
    <t xml:space="preserve">Z skoru</t>
  </si>
  <si>
    <t xml:space="preserve">1,2 X1 + 1,4 X2 + 3,3 X3 + 0,6 X4 + 1,0 X5</t>
  </si>
  <si>
    <t xml:space="preserve">Bölge</t>
  </si>
  <si>
    <t xml:space="preserve">2,99 üzeri güvenli, 1,81 ile 2,99 arası gri, 1,81 altı tehlike</t>
  </si>
  <si>
    <t xml:space="preserve">Z'' MODELİ (1995, üretim dışı ve gelişmekte olan piyasa şirketleri)</t>
  </si>
  <si>
    <t xml:space="preserve">Özkaynak defter değeri / Toplam yükümlülükler</t>
  </si>
  <si>
    <t xml:space="preserve">Z'' skoru</t>
  </si>
  <si>
    <t xml:space="preserve">6,56 X1 + 3,26 X2 + 6,72 X3 + 1,05 X4</t>
  </si>
  <si>
    <t xml:space="preserve">2,60 üzeri güvenli, 1,10 ile 2,60 arası gri, 1,10 altı tehlike</t>
  </si>
  <si>
    <t xml:space="preserve">Katsayılar Altman (1968) ve Altman (1995) çalışmalarından alınmıştır.</t>
  </si>
  <si>
    <t xml:space="preserve">Dağıtılmamış karlar burada Geçmiş yıllar karları ile Dönem net karının toplamı olarak alınır. Kısıtlanmış yedekleri eklemek isteyen Girdi sayfasında Geçmiş yıllar satırına ekleyebilir.</t>
  </si>
  <si>
    <t xml:space="preserve">TMS 29 altında özkaynak kalemleri yeniden ifade edildiği için X2 enflasyon öncesi yıllara göre farklı davranabilir. Trendi aynı muhasebe rejimi içinde kıyaslayın.</t>
  </si>
  <si>
    <t xml:space="preserve">Beneish M Skoru (8 değişkenli), CCOLA</t>
  </si>
  <si>
    <t xml:space="preserve">Her sütun bir önceki dönemle kıyaslanır, Dönem 1 sütunu bu yüzden boş kalır.</t>
  </si>
  <si>
    <t xml:space="preserve">Endeks</t>
  </si>
  <si>
    <t xml:space="preserve">Formül</t>
  </si>
  <si>
    <t xml:space="preserve">1'in üzerindeyse ne düşünmeli</t>
  </si>
  <si>
    <t xml:space="preserve">DSRI</t>
  </si>
  <si>
    <t xml:space="preserve">(Alacak t / Satış t) / (Alacak t-1 / Satış t-1)</t>
  </si>
  <si>
    <t xml:space="preserve">-</t>
  </si>
  <si>
    <t xml:space="preserve">Alacaklar satışlardan hızlı büyüyor, gelir öne çekilmiş olabilir.</t>
  </si>
  <si>
    <t xml:space="preserve">GMI</t>
  </si>
  <si>
    <t xml:space="preserve">Brüt marj t-1 / Brüt marj t</t>
  </si>
  <si>
    <t xml:space="preserve">Brüt marj daralıyor, yönetim üzerinde baskı artar.</t>
  </si>
  <si>
    <t xml:space="preserve">AQI</t>
  </si>
  <si>
    <t xml:space="preserve">[1 - (Dönen + MDV + Fin. yat.) / TV] t / aynı oran t-1</t>
  </si>
  <si>
    <t xml:space="preserve">Somut olmayan, aktifleştirilmiş varlıkların payı artıyor.</t>
  </si>
  <si>
    <t xml:space="preserve">SGI</t>
  </si>
  <si>
    <t xml:space="preserve">Satış t / Satış t-1</t>
  </si>
  <si>
    <t xml:space="preserve">Hızlı büyüme manipülasyon baskısı yaratabilir. Enflasyonda reel tablolara bakın.</t>
  </si>
  <si>
    <t xml:space="preserve">DEPI</t>
  </si>
  <si>
    <t xml:space="preserve">[Amort / (Amort + MDV)] t-1 / aynı oran t</t>
  </si>
  <si>
    <t xml:space="preserve">Amortisman oranı düşmüş, faydalı ömürler uzatılmış olabilir.</t>
  </si>
  <si>
    <t xml:space="preserve">SGAI</t>
  </si>
  <si>
    <t xml:space="preserve">(SGA t / Satış t) / (SGA t-1 / Satış t-1)</t>
  </si>
  <si>
    <t xml:space="preserve">Faaliyet giderleri satışa göre artıyor, verimlilik düşüyor.</t>
  </si>
  <si>
    <t xml:space="preserve">TATA</t>
  </si>
  <si>
    <t xml:space="preserve">(Sürdürülen faaliyet karı t - İşletme nakit akışı t) / TV t</t>
  </si>
  <si>
    <t xml:space="preserve">Pozitif ve yüksekse kar nakitle desteklenmiyor, tahakkuk ağırlıklı.</t>
  </si>
  <si>
    <t xml:space="preserve">LVGI</t>
  </si>
  <si>
    <t xml:space="preserve">[(KVYK + UV fin. borç) / TV] t / aynı oran t-1</t>
  </si>
  <si>
    <t xml:space="preserve">Kaldıraç artıyor, borç sözleşmesi baskısı oluşabilir.</t>
  </si>
  <si>
    <t xml:space="preserve">Sabit</t>
  </si>
  <si>
    <t xml:space="preserve">M skoru</t>
  </si>
  <si>
    <t xml:space="preserve">-4,84 + 0,920 DSRI + 0,528 GMI + 0,404 AQI + 0,892 SGI + 0,115 DEPI - 0,172 SGAI + 4,679 TATA - 0,327 LVGI</t>
  </si>
  <si>
    <t xml:space="preserve">Eşik</t>
  </si>
  <si>
    <t xml:space="preserve">Beneish (1999) 8 değişkenli model eşiği. Temkinli kullanım için -2,22 yazabilirsiniz.</t>
  </si>
  <si>
    <t xml:space="preserve">Sonuç</t>
  </si>
  <si>
    <t xml:space="preserve">Katsayılar Beneish (1999), The Detection of Earnings Manipulation, Financial Analysts Journal çalışmasından alınmıştır.</t>
  </si>
  <si>
    <t xml:space="preserve">Model ABD şirketleri verisiyle kalibre edilmiştir. Yüksek enflasyon ve kur oynaklığı SGI, GMI ve DSRI endekslerini manipülasyon olmadan da şişirebilir.</t>
  </si>
  <si>
    <t xml:space="preserve">Sonucu tek başına kullanmayın. Eşiği aşan durumda en yüksek katkıyı yapan endeksi bulun ve Kırmızı Bayrak Kontrol Listesi ile birlikte değerlendirin.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</si>
</sst>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\(#,##0.0\);\-"/>
    <numFmt numFmtId="166" formatCode="0.0000"/>
    <numFmt numFmtId="167" formatCode="0.000;\(0.000\);\-"/>
    <numFmt numFmtId="168" formatCode="0.00"/>
    <numFmt numFmtId="169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9"/>
      <color rgb="FF555555"/>
      <name val="Arial"/>
      <family val="0"/>
      <charset val="1"/>
    </font>
    <font>
      <sz val="10"/>
      <name val="Arial"/>
      <family val="2"/>
    </font>
    <font>
      <b val="true"/>
      <sz val="10"/>
      <color rgb="FF008000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3A5F"/>
        <bgColor rgb="FF333333"/>
      </patternFill>
    </fill>
    <fill>
      <patternFill patternType="solid">
        <fgColor rgb="FFDCE6F0"/>
        <bgColor rgb="FFE2EFDA"/>
      </patternFill>
    </fill>
    <fill>
      <patternFill patternType="solid">
        <fgColor rgb="FFE2EFDA"/>
        <bgColor rgb="FFDCE6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  <col collapsed="false" customWidth="true" hidden="false" outlineLevel="0" max="3" min="3" style="0" width="4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</row>
    <row r="6" customFormat="false" ht="30" hidden="false" customHeight="true" outlineLevel="0" collapsed="false">
      <c r="B6" s="3" t="s">
        <v>3</v>
      </c>
    </row>
    <row r="7" customFormat="false" ht="30" hidden="false" customHeight="true" outlineLevel="0" collapsed="false">
      <c r="B7" s="3" t="s">
        <v>4</v>
      </c>
    </row>
    <row r="8" customFormat="false" ht="30" hidden="false" customHeight="true" outlineLevel="0" collapsed="false">
      <c r="B8" s="3" t="s">
        <v>5</v>
      </c>
    </row>
    <row r="9" customFormat="false" ht="30" hidden="false" customHeight="true" outlineLevel="0" collapsed="false">
      <c r="B9" s="3" t="s">
        <v>6</v>
      </c>
    </row>
    <row r="10" customFormat="false" ht="30" hidden="false" customHeight="true" outlineLevel="0" collapsed="false">
      <c r="B10" s="3" t="s">
        <v>7</v>
      </c>
    </row>
    <row r="11" customFormat="false" ht="30" hidden="false" customHeight="true" outlineLevel="0" collapsed="false">
      <c r="B11" s="3" t="s">
        <v>8</v>
      </c>
    </row>
    <row r="12" customFormat="false" ht="30" hidden="false" customHeight="true" outlineLevel="0" collapsed="false">
      <c r="B12" s="3" t="s">
        <v>9</v>
      </c>
    </row>
    <row r="15" customFormat="false" ht="15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5" t="s">
        <v>11</v>
      </c>
      <c r="C16" s="6" t="s">
        <v>12</v>
      </c>
    </row>
    <row r="17" customFormat="false" ht="15" hidden="false" customHeight="false" outlineLevel="0" collapsed="false">
      <c r="B17" s="6" t="s">
        <v>13</v>
      </c>
      <c r="C17" s="6" t="s">
        <v>14</v>
      </c>
    </row>
    <row r="18" customFormat="false" ht="15" hidden="false" customHeight="false" outlineLevel="0" collapsed="false">
      <c r="B18" s="7" t="s">
        <v>15</v>
      </c>
      <c r="C18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6"/>
    <col collapsed="false" customWidth="true" hidden="false" outlineLevel="0" max="5" min="3" style="0" width="14"/>
    <col collapsed="false" customWidth="true" hidden="false" outlineLevel="0" max="6" min="6" style="0" width="3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4" customFormat="false" ht="15" hidden="false" customHeight="false" outlineLevel="0" collapsed="false">
      <c r="A4" s="8" t="s">
        <v>19</v>
      </c>
      <c r="B4" s="8" t="s">
        <v>20</v>
      </c>
      <c r="C4" s="8" t="s">
        <v>21</v>
      </c>
      <c r="D4" s="8" t="s">
        <v>22</v>
      </c>
      <c r="E4" s="8" t="s">
        <v>23</v>
      </c>
      <c r="G4" s="8" t="s">
        <v>24</v>
      </c>
    </row>
    <row r="5" customFormat="false" ht="15" hidden="false" customHeight="false" outlineLevel="0" collapsed="false">
      <c r="A5" s="4" t="s">
        <v>25</v>
      </c>
      <c r="C5" s="9" t="s">
        <v>26</v>
      </c>
      <c r="D5" s="9" t="s">
        <v>27</v>
      </c>
      <c r="E5" s="9" t="s">
        <v>28</v>
      </c>
    </row>
    <row r="6" customFormat="false" ht="15" hidden="false" customHeight="false" outlineLevel="0" collapsed="false">
      <c r="A6" s="10" t="s">
        <v>29</v>
      </c>
      <c r="B6" s="11"/>
      <c r="C6" s="11"/>
      <c r="D6" s="11"/>
      <c r="E6" s="11"/>
    </row>
    <row r="7" customFormat="false" ht="15" hidden="false" customHeight="false" outlineLevel="0" collapsed="false">
      <c r="A7" s="12" t="s">
        <v>30</v>
      </c>
      <c r="B7" s="13" t="s">
        <v>31</v>
      </c>
      <c r="C7" s="14" t="n">
        <v>107387.3</v>
      </c>
      <c r="D7" s="14" t="n">
        <v>93650.2</v>
      </c>
      <c r="E7" s="14" t="n">
        <v>86689.8</v>
      </c>
      <c r="G7" s="15" t="s">
        <v>32</v>
      </c>
    </row>
    <row r="8" customFormat="false" ht="15" hidden="false" customHeight="false" outlineLevel="0" collapsed="false">
      <c r="A8" s="12" t="s">
        <v>33</v>
      </c>
      <c r="B8" s="13" t="s">
        <v>34</v>
      </c>
      <c r="C8" s="14" t="n">
        <v>245149.8</v>
      </c>
      <c r="D8" s="14" t="n">
        <v>228628.7</v>
      </c>
      <c r="E8" s="14" t="n">
        <v>224653.2</v>
      </c>
      <c r="G8" s="15" t="s">
        <v>35</v>
      </c>
    </row>
    <row r="9" customFormat="false" ht="15" hidden="false" customHeight="false" outlineLevel="0" collapsed="false">
      <c r="A9" s="12" t="s">
        <v>36</v>
      </c>
      <c r="B9" s="13" t="s">
        <v>37</v>
      </c>
      <c r="C9" s="14" t="n">
        <v>92373.3</v>
      </c>
      <c r="D9" s="14" t="n">
        <v>81674.5</v>
      </c>
      <c r="E9" s="14" t="n">
        <v>75172.7</v>
      </c>
      <c r="G9" s="15" t="s">
        <v>38</v>
      </c>
    </row>
    <row r="10" customFormat="false" ht="15" hidden="false" customHeight="false" outlineLevel="0" collapsed="false">
      <c r="A10" s="12" t="s">
        <v>39</v>
      </c>
      <c r="B10" s="13" t="s">
        <v>40</v>
      </c>
      <c r="C10" s="14" t="n">
        <v>52732.4</v>
      </c>
      <c r="D10" s="14" t="n">
        <v>51923.1</v>
      </c>
      <c r="E10" s="14" t="n">
        <v>47470.2</v>
      </c>
      <c r="G10" s="15" t="s">
        <v>41</v>
      </c>
    </row>
    <row r="11" customFormat="false" ht="15" hidden="false" customHeight="false" outlineLevel="0" collapsed="false">
      <c r="A11" s="12" t="s">
        <v>42</v>
      </c>
      <c r="B11" s="13" t="s">
        <v>43</v>
      </c>
      <c r="C11" s="14" t="n">
        <v>42230.5</v>
      </c>
      <c r="D11" s="14" t="n">
        <v>42756</v>
      </c>
      <c r="E11" s="14" t="n">
        <v>38320.2</v>
      </c>
      <c r="G11" s="15" t="s">
        <v>44</v>
      </c>
    </row>
    <row r="12" customFormat="false" ht="15" hidden="false" customHeight="false" outlineLevel="0" collapsed="false">
      <c r="A12" s="12" t="s">
        <v>45</v>
      </c>
      <c r="B12" s="13" t="s">
        <v>46</v>
      </c>
      <c r="C12" s="14" t="n">
        <v>100044.1</v>
      </c>
      <c r="D12" s="14" t="n">
        <v>95031</v>
      </c>
      <c r="E12" s="14" t="n">
        <v>102010.3</v>
      </c>
      <c r="G12" s="15" t="s">
        <v>47</v>
      </c>
    </row>
    <row r="13" customFormat="false" ht="15" hidden="false" customHeight="false" outlineLevel="0" collapsed="false">
      <c r="A13" s="12" t="s">
        <v>48</v>
      </c>
      <c r="B13" s="13" t="s">
        <v>49</v>
      </c>
      <c r="C13" s="14" t="n">
        <v>41928.9</v>
      </c>
      <c r="D13" s="14" t="n">
        <v>82948.1</v>
      </c>
      <c r="E13" s="14" t="n">
        <v>100643.1</v>
      </c>
      <c r="G13" s="15" t="s">
        <v>50</v>
      </c>
    </row>
    <row r="14" customFormat="false" ht="15" hidden="false" customHeight="false" outlineLevel="0" collapsed="false">
      <c r="A14" s="12" t="s">
        <v>51</v>
      </c>
      <c r="B14" s="13" t="s">
        <v>52</v>
      </c>
      <c r="C14" s="14" t="n">
        <v>45799.1</v>
      </c>
      <c r="D14" s="14" t="n">
        <v>22833.1</v>
      </c>
      <c r="E14" s="14" t="n">
        <v>16571.3</v>
      </c>
      <c r="G14" s="15" t="s">
        <v>50</v>
      </c>
    </row>
    <row r="15" customFormat="false" ht="15" hidden="false" customHeight="false" outlineLevel="0" collapsed="false">
      <c r="A15" s="12" t="s">
        <v>53</v>
      </c>
      <c r="B15" s="13" t="s">
        <v>54</v>
      </c>
      <c r="C15" s="14" t="n">
        <v>19616.1</v>
      </c>
      <c r="D15" s="14" t="n">
        <v>19928.7</v>
      </c>
      <c r="E15" s="14" t="n">
        <v>22415.4</v>
      </c>
      <c r="G15" s="15" t="s">
        <v>55</v>
      </c>
    </row>
    <row r="16" customFormat="false" ht="15" hidden="false" customHeight="false" outlineLevel="0" collapsed="false">
      <c r="A16" s="12" t="s">
        <v>56</v>
      </c>
      <c r="B16" s="13" t="s">
        <v>57</v>
      </c>
      <c r="C16" s="14" t="n">
        <v>78412.3</v>
      </c>
      <c r="D16" s="14" t="n">
        <v>83628.7</v>
      </c>
      <c r="E16" s="14" t="n">
        <v>87067.8</v>
      </c>
      <c r="G16" s="15" t="s">
        <v>58</v>
      </c>
    </row>
    <row r="17" customFormat="false" ht="15" hidden="false" customHeight="false" outlineLevel="0" collapsed="false">
      <c r="A17" s="12" t="s">
        <v>59</v>
      </c>
      <c r="B17" s="13" t="s">
        <v>60</v>
      </c>
      <c r="C17" s="14" t="n">
        <v>836.3</v>
      </c>
      <c r="D17" s="14" t="n">
        <v>147.6</v>
      </c>
      <c r="E17" s="14" t="n">
        <v>261.6</v>
      </c>
      <c r="G17" s="15" t="s">
        <v>61</v>
      </c>
    </row>
    <row r="18" customFormat="false" ht="15" hidden="false" customHeight="false" outlineLevel="0" collapsed="false">
      <c r="A18" s="10" t="s">
        <v>62</v>
      </c>
      <c r="B18" s="11"/>
      <c r="C18" s="11"/>
      <c r="D18" s="11"/>
      <c r="E18" s="11"/>
    </row>
    <row r="19" customFormat="false" ht="15" hidden="false" customHeight="false" outlineLevel="0" collapsed="false">
      <c r="A19" s="12" t="s">
        <v>63</v>
      </c>
      <c r="B19" s="13" t="s">
        <v>64</v>
      </c>
      <c r="C19" s="14" t="n">
        <v>224863.6</v>
      </c>
      <c r="D19" s="14" t="n">
        <v>212222.4</v>
      </c>
      <c r="E19" s="14" t="n">
        <v>220428.3</v>
      </c>
      <c r="G19" s="15" t="s">
        <v>65</v>
      </c>
    </row>
    <row r="20" customFormat="false" ht="15" hidden="false" customHeight="false" outlineLevel="0" collapsed="false">
      <c r="A20" s="12" t="s">
        <v>66</v>
      </c>
      <c r="B20" s="13" t="s">
        <v>67</v>
      </c>
      <c r="C20" s="14" t="n">
        <v>151335.7</v>
      </c>
      <c r="D20" s="14" t="n">
        <v>137327</v>
      </c>
      <c r="E20" s="14" t="n">
        <v>142037.9</v>
      </c>
      <c r="G20" s="15" t="s">
        <v>68</v>
      </c>
    </row>
    <row r="21" customFormat="false" ht="15" hidden="false" customHeight="false" outlineLevel="0" collapsed="false">
      <c r="A21" s="12" t="s">
        <v>69</v>
      </c>
      <c r="B21" s="13" t="s">
        <v>70</v>
      </c>
      <c r="C21" s="14" t="n">
        <v>9512.1</v>
      </c>
      <c r="D21" s="14" t="n">
        <v>11505.4</v>
      </c>
      <c r="E21" s="14" t="n">
        <v>11908.2</v>
      </c>
      <c r="G21" s="15" t="s">
        <v>71</v>
      </c>
    </row>
    <row r="22" customFormat="false" ht="15" hidden="false" customHeight="false" outlineLevel="0" collapsed="false">
      <c r="A22" s="12" t="s">
        <v>72</v>
      </c>
      <c r="B22" s="13" t="s">
        <v>73</v>
      </c>
      <c r="C22" s="14" t="n">
        <v>32347.1</v>
      </c>
      <c r="D22" s="14" t="n">
        <v>35081.1</v>
      </c>
      <c r="E22" s="14" t="n">
        <v>36722.6</v>
      </c>
      <c r="G22" s="15" t="s">
        <v>71</v>
      </c>
    </row>
    <row r="23" customFormat="false" ht="15" hidden="false" customHeight="false" outlineLevel="0" collapsed="false">
      <c r="A23" s="12" t="s">
        <v>74</v>
      </c>
      <c r="B23" s="13" t="s">
        <v>75</v>
      </c>
      <c r="C23" s="14" t="n">
        <v>32116.9</v>
      </c>
      <c r="D23" s="14" t="n">
        <v>28987.3</v>
      </c>
      <c r="E23" s="14" t="n">
        <v>29554</v>
      </c>
      <c r="G23" s="15" t="s">
        <v>76</v>
      </c>
    </row>
    <row r="24" customFormat="false" ht="15" hidden="false" customHeight="false" outlineLevel="0" collapsed="false">
      <c r="A24" s="12" t="s">
        <v>77</v>
      </c>
      <c r="B24" s="13" t="s">
        <v>78</v>
      </c>
      <c r="C24" s="14" t="n">
        <v>47091.5</v>
      </c>
      <c r="D24" s="14" t="n">
        <v>22953.5</v>
      </c>
      <c r="E24" s="14" t="n">
        <v>16796.5</v>
      </c>
      <c r="G24" s="15" t="s">
        <v>79</v>
      </c>
    </row>
    <row r="25" customFormat="false" ht="15" hidden="false" customHeight="false" outlineLevel="0" collapsed="false">
      <c r="A25" s="10" t="s">
        <v>80</v>
      </c>
      <c r="B25" s="11"/>
      <c r="C25" s="11"/>
      <c r="D25" s="11"/>
      <c r="E25" s="11"/>
    </row>
    <row r="26" customFormat="false" ht="15" hidden="false" customHeight="false" outlineLevel="0" collapsed="false">
      <c r="A26" s="12" t="s">
        <v>81</v>
      </c>
      <c r="B26" s="13" t="s">
        <v>82</v>
      </c>
      <c r="C26" s="14" t="n">
        <v>8205.8</v>
      </c>
      <c r="D26" s="14" t="n">
        <v>8904.3</v>
      </c>
      <c r="E26" s="14" t="n">
        <v>8994.7</v>
      </c>
      <c r="G26" s="15" t="s">
        <v>83</v>
      </c>
    </row>
    <row r="27" customFormat="false" ht="15" hidden="false" customHeight="false" outlineLevel="0" collapsed="false">
      <c r="A27" s="12" t="s">
        <v>84</v>
      </c>
      <c r="B27" s="13" t="s">
        <v>85</v>
      </c>
      <c r="C27" s="14" t="n">
        <v>27913.2</v>
      </c>
      <c r="D27" s="14" t="n">
        <v>25812.9</v>
      </c>
      <c r="E27" s="14" t="n">
        <v>32235.8</v>
      </c>
      <c r="G27" s="15" t="s">
        <v>79</v>
      </c>
    </row>
    <row r="28" customFormat="false" ht="15" hidden="false" customHeight="false" outlineLevel="0" collapsed="false">
      <c r="A28" s="10" t="s">
        <v>86</v>
      </c>
      <c r="B28" s="11"/>
      <c r="C28" s="11"/>
      <c r="D28" s="11"/>
      <c r="E28" s="11"/>
    </row>
    <row r="29" customFormat="false" ht="15" hidden="false" customHeight="false" outlineLevel="0" collapsed="false">
      <c r="A29" s="12" t="s">
        <v>87</v>
      </c>
      <c r="B29" s="13" t="s">
        <v>88</v>
      </c>
      <c r="C29" s="14" t="n">
        <v>129607</v>
      </c>
      <c r="D29" s="14" t="n">
        <v>164275.2</v>
      </c>
      <c r="E29" s="14" t="n">
        <v>164527</v>
      </c>
      <c r="G29" s="15" t="s">
        <v>41</v>
      </c>
    </row>
    <row r="30" customFormat="false" ht="22.35" hidden="false" customHeight="false" outlineLevel="0" collapsed="false">
      <c r="A30" s="12" t="s">
        <v>89</v>
      </c>
      <c r="B30" s="13" t="s">
        <v>90</v>
      </c>
      <c r="C30" s="16" t="n">
        <v>2.2254</v>
      </c>
      <c r="D30" s="16" t="n">
        <v>1.5414</v>
      </c>
      <c r="E30" s="16" t="n">
        <v>1.1776</v>
      </c>
      <c r="G30" s="15" t="s">
        <v>41</v>
      </c>
    </row>
    <row r="31" customFormat="false" ht="15" hidden="false" customHeight="false" outlineLevel="0" collapsed="false">
      <c r="A31" s="10" t="s">
        <v>91</v>
      </c>
      <c r="B31" s="11"/>
      <c r="C31" s="11"/>
      <c r="D31" s="11"/>
      <c r="E31" s="11"/>
    </row>
    <row r="32" customFormat="false" ht="15" hidden="false" customHeight="false" outlineLevel="0" collapsed="false">
      <c r="A32" s="6" t="s">
        <v>92</v>
      </c>
      <c r="C32" s="17" t="n">
        <f aca="false">IF(C8="","",C29*C30)</f>
        <v>288427.4178</v>
      </c>
      <c r="D32" s="17" t="n">
        <f aca="false">IF(D8="","",D29*D30)</f>
        <v>253213.79328</v>
      </c>
      <c r="E32" s="17" t="n">
        <f aca="false">IF(E8="","",E29*E30)</f>
        <v>193746.9952</v>
      </c>
    </row>
    <row r="33" customFormat="false" ht="15" hidden="false" customHeight="false" outlineLevel="0" collapsed="false">
      <c r="A33" s="6" t="s">
        <v>93</v>
      </c>
      <c r="C33" s="17" t="n">
        <f aca="false">IF(C8="","",C9+C10)</f>
        <v>145105.7</v>
      </c>
      <c r="D33" s="17" t="n">
        <f aca="false">IF(D8="","",D9+D10)</f>
        <v>133597.6</v>
      </c>
      <c r="E33" s="17" t="n">
        <f aca="false">IF(E8="","",E9+E10)</f>
        <v>122642.9</v>
      </c>
    </row>
    <row r="34" customFormat="false" ht="15" hidden="false" customHeight="false" outlineLevel="0" collapsed="false">
      <c r="A34" s="6" t="s">
        <v>94</v>
      </c>
      <c r="C34" s="17" t="n">
        <f aca="false">IF(C8="","",C13+C14)</f>
        <v>87728</v>
      </c>
      <c r="D34" s="17" t="n">
        <f aca="false">IF(D8="","",D13+D14)</f>
        <v>105781.2</v>
      </c>
      <c r="E34" s="17" t="n">
        <f aca="false">IF(E8="","",E13+E14)</f>
        <v>117214.4</v>
      </c>
    </row>
    <row r="35" customFormat="false" ht="15" hidden="false" customHeight="false" outlineLevel="0" collapsed="false">
      <c r="A35" s="6" t="s">
        <v>95</v>
      </c>
      <c r="C35" s="17" t="n">
        <f aca="false">IF(C8="","",C7-C9)</f>
        <v>15014</v>
      </c>
      <c r="D35" s="17" t="n">
        <f aca="false">IF(D8="","",D7-D9)</f>
        <v>11975.7</v>
      </c>
      <c r="E35" s="17" t="n">
        <f aca="false">IF(E8="","",E7-E9)</f>
        <v>11517.1</v>
      </c>
    </row>
    <row r="36" customFormat="false" ht="15" hidden="false" customHeight="false" outlineLevel="0" collapsed="false">
      <c r="A36" s="6" t="s">
        <v>96</v>
      </c>
      <c r="C36" s="17" t="n">
        <f aca="false">IF(C8="","",C21+C22)</f>
        <v>41859.2</v>
      </c>
      <c r="D36" s="17" t="n">
        <f aca="false">IF(D8="","",D21+D22)</f>
        <v>46586.5</v>
      </c>
      <c r="E36" s="17" t="n">
        <f aca="false">IF(E8="","",E21+E22)</f>
        <v>48630.8</v>
      </c>
    </row>
    <row r="38" customFormat="false" ht="15" hidden="false" customHeight="false" outlineLevel="0" collapsed="false">
      <c r="A38" s="2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6"/>
    <col collapsed="false" customWidth="true" hidden="false" outlineLevel="0" max="5" min="3" style="0" width="13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8" t="s">
        <v>100</v>
      </c>
      <c r="B4" s="8" t="s">
        <v>101</v>
      </c>
      <c r="C4" s="8" t="s">
        <v>21</v>
      </c>
      <c r="D4" s="8" t="s">
        <v>22</v>
      </c>
      <c r="E4" s="8" t="s">
        <v>23</v>
      </c>
      <c r="F4" s="8" t="s">
        <v>102</v>
      </c>
    </row>
    <row r="5" customFormat="false" ht="15" hidden="false" customHeight="false" outlineLevel="0" collapsed="false">
      <c r="C5" s="18" t="str">
        <f aca="false">IF(Girdi!C5="","",Girdi!C5)</f>
        <v>2023/12</v>
      </c>
      <c r="D5" s="18" t="str">
        <f aca="false">IF(Girdi!D5="","",Girdi!D5)</f>
        <v>2024/12</v>
      </c>
      <c r="E5" s="18" t="str">
        <f aca="false">IF(Girdi!E5="","",Girdi!E5)</f>
        <v>2025/12</v>
      </c>
    </row>
    <row r="6" customFormat="false" ht="15" hidden="false" customHeight="false" outlineLevel="0" collapsed="false">
      <c r="A6" s="10" t="s">
        <v>103</v>
      </c>
      <c r="B6" s="11"/>
      <c r="C6" s="11"/>
      <c r="D6" s="11"/>
      <c r="E6" s="11"/>
      <c r="F6" s="11"/>
    </row>
    <row r="7" customFormat="false" ht="15" hidden="false" customHeight="false" outlineLevel="0" collapsed="false">
      <c r="A7" s="6" t="s">
        <v>104</v>
      </c>
      <c r="B7" s="15" t="s">
        <v>105</v>
      </c>
      <c r="C7" s="19" t="n">
        <f aca="false">IFERROR(Girdi!C35/Girdi!C8,"")</f>
        <v>0.0612441862077799</v>
      </c>
      <c r="D7" s="19" t="n">
        <f aca="false">IFERROR(Girdi!D35/Girdi!D8,"")</f>
        <v>0.0523805628952096</v>
      </c>
      <c r="E7" s="19" t="n">
        <f aca="false">IFERROR(Girdi!E35/Girdi!E8,"")</f>
        <v>0.05126612930508</v>
      </c>
      <c r="F7" s="20" t="n">
        <v>1.2</v>
      </c>
    </row>
    <row r="8" customFormat="false" ht="15" hidden="false" customHeight="false" outlineLevel="0" collapsed="false">
      <c r="A8" s="6" t="s">
        <v>106</v>
      </c>
      <c r="B8" s="15" t="s">
        <v>107</v>
      </c>
      <c r="C8" s="19" t="n">
        <f aca="false">IFERROR(Girdi!C34/Girdi!C8,"")</f>
        <v>0.357854666820042</v>
      </c>
      <c r="D8" s="19" t="n">
        <f aca="false">IFERROR(Girdi!D34/Girdi!D8,"")</f>
        <v>0.462676820539154</v>
      </c>
      <c r="E8" s="19" t="n">
        <f aca="false">IFERROR(Girdi!E34/Girdi!E8,"")</f>
        <v>0.521757090484356</v>
      </c>
      <c r="F8" s="20" t="n">
        <v>1.4</v>
      </c>
    </row>
    <row r="9" customFormat="false" ht="15" hidden="false" customHeight="false" outlineLevel="0" collapsed="false">
      <c r="A9" s="6" t="s">
        <v>108</v>
      </c>
      <c r="B9" s="15" t="s">
        <v>109</v>
      </c>
      <c r="C9" s="19" t="n">
        <f aca="false">IFERROR(Girdi!C23/Girdi!C8,"")</f>
        <v>0.13100928493517</v>
      </c>
      <c r="D9" s="19" t="n">
        <f aca="false">IFERROR(Girdi!D23/Girdi!D8,"")</f>
        <v>0.12678766926462</v>
      </c>
      <c r="E9" s="19" t="n">
        <f aca="false">IFERROR(Girdi!E23/Girdi!E8,"")</f>
        <v>0.131553879490699</v>
      </c>
      <c r="F9" s="20" t="n">
        <v>3.3</v>
      </c>
    </row>
    <row r="10" customFormat="false" ht="15" hidden="false" customHeight="false" outlineLevel="0" collapsed="false">
      <c r="A10" s="6" t="s">
        <v>110</v>
      </c>
      <c r="B10" s="15" t="s">
        <v>111</v>
      </c>
      <c r="C10" s="19" t="n">
        <f aca="false">IFERROR(Girdi!C32/Girdi!C33,"")</f>
        <v>1.9877056366497</v>
      </c>
      <c r="D10" s="19" t="n">
        <f aca="false">IFERROR(Girdi!D32/Girdi!D33,"")</f>
        <v>1.8953468720995</v>
      </c>
      <c r="E10" s="19" t="n">
        <f aca="false">IFERROR(Girdi!E32/Girdi!E33,"")</f>
        <v>1.57976527952291</v>
      </c>
      <c r="F10" s="20" t="n">
        <v>0.6</v>
      </c>
    </row>
    <row r="11" customFormat="false" ht="15" hidden="false" customHeight="false" outlineLevel="0" collapsed="false">
      <c r="A11" s="6" t="s">
        <v>112</v>
      </c>
      <c r="B11" s="15" t="s">
        <v>113</v>
      </c>
      <c r="C11" s="19" t="n">
        <f aca="false">IFERROR(Girdi!C19/Girdi!C8,"")</f>
        <v>0.917249779522561</v>
      </c>
      <c r="D11" s="19" t="n">
        <f aca="false">IFERROR(Girdi!D19/Girdi!D8,"")</f>
        <v>0.928240417760325</v>
      </c>
      <c r="E11" s="19" t="n">
        <f aca="false">IFERROR(Girdi!E19/Girdi!E8,"")</f>
        <v>0.981193679858555</v>
      </c>
      <c r="F11" s="20" t="n">
        <v>1</v>
      </c>
    </row>
    <row r="12" customFormat="false" ht="15" hidden="false" customHeight="false" outlineLevel="0" collapsed="false">
      <c r="A12" s="4" t="s">
        <v>114</v>
      </c>
      <c r="B12" s="15" t="s">
        <v>115</v>
      </c>
      <c r="C12" s="21" t="n">
        <f aca="false">IF(C7="","",SUMPRODUCT(C7:C11,$F$7:$F$11))</f>
        <v>3.11669335879584</v>
      </c>
      <c r="D12" s="21" t="n">
        <f aca="false">IF(D7="","",SUMPRODUCT(D7:D11,$F$7:$F$11))</f>
        <v>3.19445207382234</v>
      </c>
      <c r="E12" s="21" t="n">
        <f aca="false">IF(E7="","",SUMPRODUCT(E7:E11,$F$7:$F$11))</f>
        <v>3.1551599317358</v>
      </c>
    </row>
    <row r="13" customFormat="false" ht="15" hidden="false" customHeight="false" outlineLevel="0" collapsed="false">
      <c r="A13" s="4" t="s">
        <v>116</v>
      </c>
      <c r="B13" s="15" t="s">
        <v>117</v>
      </c>
      <c r="C13" s="22" t="str">
        <f aca="false">IF(C12="","",IF(C12&gt;2.99,"Güvenli",IF(C12&gt;=1.81,"Gri","Tehlike")))</f>
        <v>Güvenli</v>
      </c>
      <c r="D13" s="22" t="str">
        <f aca="false">IF(D12="","",IF(D12&gt;2.99,"Güvenli",IF(D12&gt;=1.81,"Gri","Tehlike")))</f>
        <v>Güvenli</v>
      </c>
      <c r="E13" s="22" t="str">
        <f aca="false">IF(E12="","",IF(E12&gt;2.99,"Güvenli",IF(E12&gt;=1.81,"Gri","Tehlike")))</f>
        <v>Güvenli</v>
      </c>
    </row>
    <row r="15" customFormat="false" ht="15" hidden="false" customHeight="false" outlineLevel="0" collapsed="false">
      <c r="A15" s="10" t="s">
        <v>118</v>
      </c>
      <c r="B15" s="11"/>
      <c r="C15" s="11"/>
      <c r="D15" s="11"/>
      <c r="E15" s="11"/>
      <c r="F15" s="11"/>
    </row>
    <row r="16" customFormat="false" ht="15" hidden="false" customHeight="false" outlineLevel="0" collapsed="false">
      <c r="A16" s="6" t="s">
        <v>104</v>
      </c>
      <c r="B16" s="15" t="s">
        <v>105</v>
      </c>
      <c r="C16" s="19" t="n">
        <f aca="false">C7</f>
        <v>0.0612441862077799</v>
      </c>
      <c r="D16" s="19" t="n">
        <f aca="false">D7</f>
        <v>0.0523805628952096</v>
      </c>
      <c r="E16" s="19" t="n">
        <f aca="false">E7</f>
        <v>0.05126612930508</v>
      </c>
      <c r="F16" s="20" t="n">
        <v>6.56</v>
      </c>
    </row>
    <row r="17" customFormat="false" ht="15" hidden="false" customHeight="false" outlineLevel="0" collapsed="false">
      <c r="A17" s="6" t="s">
        <v>106</v>
      </c>
      <c r="B17" s="15" t="s">
        <v>107</v>
      </c>
      <c r="C17" s="19" t="n">
        <f aca="false">C8</f>
        <v>0.357854666820042</v>
      </c>
      <c r="D17" s="19" t="n">
        <f aca="false">D8</f>
        <v>0.462676820539154</v>
      </c>
      <c r="E17" s="19" t="n">
        <f aca="false">E8</f>
        <v>0.521757090484356</v>
      </c>
      <c r="F17" s="20" t="n">
        <v>3.26</v>
      </c>
    </row>
    <row r="18" customFormat="false" ht="15" hidden="false" customHeight="false" outlineLevel="0" collapsed="false">
      <c r="A18" s="6" t="s">
        <v>108</v>
      </c>
      <c r="B18" s="15" t="s">
        <v>109</v>
      </c>
      <c r="C18" s="19" t="n">
        <f aca="false">C9</f>
        <v>0.13100928493517</v>
      </c>
      <c r="D18" s="19" t="n">
        <f aca="false">D9</f>
        <v>0.12678766926462</v>
      </c>
      <c r="E18" s="19" t="n">
        <f aca="false">E9</f>
        <v>0.131553879490699</v>
      </c>
      <c r="F18" s="20" t="n">
        <v>6.72</v>
      </c>
    </row>
    <row r="19" customFormat="false" ht="15" hidden="false" customHeight="false" outlineLevel="0" collapsed="false">
      <c r="A19" s="6" t="s">
        <v>110</v>
      </c>
      <c r="B19" s="15" t="s">
        <v>119</v>
      </c>
      <c r="C19" s="19" t="n">
        <f aca="false">IFERROR(Girdi!C12/Girdi!C33,"")</f>
        <v>0.689456720170193</v>
      </c>
      <c r="D19" s="19" t="n">
        <f aca="false">IFERROR(Girdi!D12/Girdi!D33,"")</f>
        <v>0.711322658490871</v>
      </c>
      <c r="E19" s="19" t="n">
        <f aca="false">IFERROR(Girdi!E12/Girdi!E33,"")</f>
        <v>0.831766861351126</v>
      </c>
      <c r="F19" s="20" t="n">
        <v>1.05</v>
      </c>
    </row>
    <row r="20" customFormat="false" ht="15" hidden="false" customHeight="false" outlineLevel="0" collapsed="false">
      <c r="A20" s="4" t="s">
        <v>120</v>
      </c>
      <c r="B20" s="15" t="s">
        <v>121</v>
      </c>
      <c r="C20" s="21" t="n">
        <f aca="false">IF(C16="","",SUMPRODUCT(C16:C19,$F$16:$F$19))</f>
        <v>3.17268002629942</v>
      </c>
      <c r="D20" s="21" t="n">
        <f aca="false">IF(D16="","",SUMPRODUCT(D16:D19,$F$16:$F$19))</f>
        <v>3.45084485642388</v>
      </c>
      <c r="E20" s="21" t="n">
        <f aca="false">IF(E16="","",SUMPRODUCT(E16:E19,$F$16:$F$19))</f>
        <v>3.79463119781651</v>
      </c>
    </row>
    <row r="21" customFormat="false" ht="15" hidden="false" customHeight="false" outlineLevel="0" collapsed="false">
      <c r="A21" s="4" t="s">
        <v>116</v>
      </c>
      <c r="B21" s="15" t="s">
        <v>122</v>
      </c>
      <c r="C21" s="22" t="str">
        <f aca="false">IF(C20="","",IF(C20&gt;2.6,"Güvenli",IF(C20&gt;=1.1,"Gri","Tehlike")))</f>
        <v>Güvenli</v>
      </c>
      <c r="D21" s="22" t="str">
        <f aca="false">IF(D20="","",IF(D20&gt;2.6,"Güvenli",IF(D20&gt;=1.1,"Gri","Tehlike")))</f>
        <v>Güvenli</v>
      </c>
      <c r="E21" s="22" t="str">
        <f aca="false">IF(E20="","",IF(E20&gt;2.6,"Güvenli",IF(E20&gt;=1.1,"Gri","Tehlike")))</f>
        <v>Güvenli</v>
      </c>
    </row>
    <row r="23" customFormat="false" ht="15" hidden="false" customHeight="false" outlineLevel="0" collapsed="false">
      <c r="A23" s="2" t="s">
        <v>123</v>
      </c>
    </row>
    <row r="24" customFormat="false" ht="15" hidden="false" customHeight="false" outlineLevel="0" collapsed="false">
      <c r="A24" s="2" t="s">
        <v>124</v>
      </c>
    </row>
    <row r="25" customFormat="false" ht="15" hidden="false" customHeight="false" outlineLevel="0" collapsed="false">
      <c r="A25" s="2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4"/>
    <col collapsed="false" customWidth="true" hidden="false" outlineLevel="0" max="5" min="3" style="0" width="13"/>
    <col collapsed="false" customWidth="true" hidden="false" outlineLevel="0" max="6" min="6" style="0" width="10"/>
    <col collapsed="false" customWidth="true" hidden="false" outlineLevel="0" max="7" min="7" style="0" width="44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4" customFormat="false" ht="15" hidden="false" customHeight="false" outlineLevel="0" collapsed="false">
      <c r="A4" s="8" t="s">
        <v>128</v>
      </c>
      <c r="B4" s="8" t="s">
        <v>129</v>
      </c>
      <c r="C4" s="8" t="s">
        <v>21</v>
      </c>
      <c r="D4" s="8" t="s">
        <v>22</v>
      </c>
      <c r="E4" s="8" t="s">
        <v>23</v>
      </c>
      <c r="F4" s="8" t="s">
        <v>102</v>
      </c>
      <c r="G4" s="8" t="s">
        <v>130</v>
      </c>
    </row>
    <row r="5" customFormat="false" ht="15" hidden="false" customHeight="false" outlineLevel="0" collapsed="false">
      <c r="C5" s="18" t="str">
        <f aca="false">IF(Girdi!C5="","",Girdi!C5)</f>
        <v>2023/12</v>
      </c>
      <c r="D5" s="18" t="str">
        <f aca="false">IF(Girdi!D5="","",Girdi!D5)</f>
        <v>2024/12</v>
      </c>
      <c r="E5" s="18" t="str">
        <f aca="false">IF(Girdi!E5="","",Girdi!E5)</f>
        <v>2025/12</v>
      </c>
    </row>
    <row r="6" customFormat="false" ht="27.75" hidden="false" customHeight="true" outlineLevel="0" collapsed="false">
      <c r="A6" s="4" t="s">
        <v>131</v>
      </c>
      <c r="B6" s="15" t="s">
        <v>132</v>
      </c>
      <c r="C6" s="23" t="s">
        <v>133</v>
      </c>
      <c r="D6" s="19" t="n">
        <f aca="false">IF(OR(Girdi!C8="",Girdi!D8=""),"",IFERROR((Girdi!D15/Girdi!D19)/(Girdi!C15/Girdi!C19),""))</f>
        <v>1.07645093759662</v>
      </c>
      <c r="E6" s="19" t="n">
        <f aca="false">IF(OR(Girdi!D8="",Girdi!E8=""),"",IFERROR((Girdi!E15/Girdi!E19)/(Girdi!D15/Girdi!D19),""))</f>
        <v>1.0829075810321</v>
      </c>
      <c r="F6" s="24" t="n">
        <v>0.92</v>
      </c>
      <c r="G6" s="25" t="s">
        <v>134</v>
      </c>
    </row>
    <row r="7" customFormat="false" ht="27.75" hidden="false" customHeight="true" outlineLevel="0" collapsed="false">
      <c r="A7" s="4" t="s">
        <v>135</v>
      </c>
      <c r="B7" s="15" t="s">
        <v>136</v>
      </c>
      <c r="C7" s="23" t="s">
        <v>133</v>
      </c>
      <c r="D7" s="19" t="n">
        <f aca="false">IF(OR(Girdi!C8="",Girdi!D8=""),"",IFERROR(((Girdi!C19-Girdi!C20)/Girdi!C19)/((Girdi!D19-Girdi!D20)/Girdi!D19),""))</f>
        <v>0.926550468861504</v>
      </c>
      <c r="E7" s="19" t="n">
        <f aca="false">IF(OR(Girdi!D8="",Girdi!E8=""),"",IFERROR(((Girdi!D19-Girdi!D20)/Girdi!D19)/((Girdi!E19-Girdi!E20)/Girdi!E19),""))</f>
        <v>0.99235804245443</v>
      </c>
      <c r="F7" s="24" t="n">
        <v>0.528</v>
      </c>
      <c r="G7" s="25" t="s">
        <v>137</v>
      </c>
    </row>
    <row r="8" customFormat="false" ht="27.75" hidden="false" customHeight="true" outlineLevel="0" collapsed="false">
      <c r="A8" s="4" t="s">
        <v>138</v>
      </c>
      <c r="B8" s="15" t="s">
        <v>139</v>
      </c>
      <c r="C8" s="23" t="s">
        <v>133</v>
      </c>
      <c r="D8" s="19" t="n">
        <f aca="false">IF(OR(Girdi!C8="",Girdi!D8=""),"",IFERROR((1-(Girdi!D7+Girdi!D16+Girdi!D17)/Girdi!D8)/(1-(Girdi!C7+Girdi!C16+Girdi!C17)/Girdi!C8),""))</f>
        <v>0.938275492571419</v>
      </c>
      <c r="E8" s="19" t="n">
        <f aca="false">IF(OR(Girdi!D8="",Girdi!E8=""),"",IFERROR((1-(Girdi!E7+Girdi!E16+Girdi!E17)/Girdi!E8)/(1-(Girdi!D7+Girdi!D16+Girdi!D17)/Girdi!D8),""))</f>
        <v>1.00640260764583</v>
      </c>
      <c r="F8" s="24" t="n">
        <v>0.404</v>
      </c>
      <c r="G8" s="25" t="s">
        <v>140</v>
      </c>
    </row>
    <row r="9" customFormat="false" ht="27.75" hidden="false" customHeight="true" outlineLevel="0" collapsed="false">
      <c r="A9" s="4" t="s">
        <v>141</v>
      </c>
      <c r="B9" s="15" t="s">
        <v>142</v>
      </c>
      <c r="C9" s="23" t="s">
        <v>133</v>
      </c>
      <c r="D9" s="19" t="n">
        <f aca="false">IF(OR(Girdi!C8="",Girdi!D8=""),"",IFERROR(Girdi!D19/Girdi!C19,""))</f>
        <v>0.943782808778299</v>
      </c>
      <c r="E9" s="19" t="n">
        <f aca="false">IF(OR(Girdi!D8="",Girdi!E8=""),"",IFERROR(Girdi!E19/Girdi!D19,""))</f>
        <v>1.03866651211182</v>
      </c>
      <c r="F9" s="24" t="n">
        <v>0.892</v>
      </c>
      <c r="G9" s="25" t="s">
        <v>143</v>
      </c>
    </row>
    <row r="10" customFormat="false" ht="27.75" hidden="false" customHeight="true" outlineLevel="0" collapsed="false">
      <c r="A10" s="4" t="s">
        <v>144</v>
      </c>
      <c r="B10" s="15" t="s">
        <v>145</v>
      </c>
      <c r="C10" s="23" t="s">
        <v>133</v>
      </c>
      <c r="D10" s="19" t="n">
        <f aca="false">IF(OR(Girdi!C8="",Girdi!D8=""),"",IFERROR((Girdi!C26/(Girdi!C26+Girdi!C16))/(Girdi!D26/(Girdi!D26+Girdi!D16)),""))</f>
        <v>0.984485068282625</v>
      </c>
      <c r="E10" s="19" t="n">
        <f aca="false">IF(OR(Girdi!D8="",Girdi!E8=""),"",IFERROR((Girdi!D26/(Girdi!D26+Girdi!D16))/(Girdi!E26/(Girdi!E26+Girdi!E16)),""))</f>
        <v>1.02770943344672</v>
      </c>
      <c r="F10" s="24" t="n">
        <v>0.115</v>
      </c>
      <c r="G10" s="25" t="s">
        <v>146</v>
      </c>
    </row>
    <row r="11" customFormat="false" ht="27.75" hidden="false" customHeight="true" outlineLevel="0" collapsed="false">
      <c r="A11" s="4" t="s">
        <v>147</v>
      </c>
      <c r="B11" s="15" t="s">
        <v>148</v>
      </c>
      <c r="C11" s="23" t="s">
        <v>133</v>
      </c>
      <c r="D11" s="19" t="n">
        <f aca="false">IF(OR(Girdi!C8="",Girdi!D8=""),"",IFERROR((Girdi!D36/Girdi!D19)/(Girdi!C36/Girdi!C19),""))</f>
        <v>1.17922613888479</v>
      </c>
      <c r="E11" s="19" t="n">
        <f aca="false">IF(OR(Girdi!D8="",Girdi!E8=""),"",IFERROR((Girdi!E36/Girdi!E19)/(Girdi!D36/Girdi!D19),""))</f>
        <v>1.00502114883044</v>
      </c>
      <c r="F11" s="24" t="n">
        <v>-0.172</v>
      </c>
      <c r="G11" s="25" t="s">
        <v>149</v>
      </c>
    </row>
    <row r="12" customFormat="false" ht="27.75" hidden="false" customHeight="true" outlineLevel="0" collapsed="false">
      <c r="A12" s="4" t="s">
        <v>150</v>
      </c>
      <c r="B12" s="15" t="s">
        <v>151</v>
      </c>
      <c r="C12" s="23" t="s">
        <v>133</v>
      </c>
      <c r="D12" s="19" t="n">
        <f aca="false">IF(OR(Girdi!C8="",Girdi!D8=""),"",IFERROR((Girdi!D24-Girdi!D27)/Girdi!D8,""))</f>
        <v>-0.0125067412796381</v>
      </c>
      <c r="E12" s="19" t="n">
        <f aca="false">IF(OR(Girdi!D8="",Girdi!E8=""),"",IFERROR((Girdi!E24-Girdi!E27)/Girdi!E8,""))</f>
        <v>-0.0687250393050266</v>
      </c>
      <c r="F12" s="24" t="n">
        <v>4.679</v>
      </c>
      <c r="G12" s="25" t="s">
        <v>152</v>
      </c>
    </row>
    <row r="13" customFormat="false" ht="27.75" hidden="false" customHeight="true" outlineLevel="0" collapsed="false">
      <c r="A13" s="4" t="s">
        <v>153</v>
      </c>
      <c r="B13" s="15" t="s">
        <v>154</v>
      </c>
      <c r="C13" s="23" t="s">
        <v>133</v>
      </c>
      <c r="D13" s="19" t="n">
        <f aca="false">IF(OR(Girdi!C8="",Girdi!D8=""),"",IFERROR(((Girdi!D9+Girdi!D11)/Girdi!D8)/((Girdi!C9+Girdi!C11)/Girdi!C8),""))</f>
        <v>0.99122060641277</v>
      </c>
      <c r="E13" s="19" t="n">
        <f aca="false">IF(OR(Girdi!D8="",Girdi!E8=""),"",IFERROR(((Girdi!E9+Girdi!E11)/Girdi!E8)/((Girdi!D9+Girdi!D11)/Girdi!D8),""))</f>
        <v>0.928239370867644</v>
      </c>
      <c r="F13" s="24" t="n">
        <v>-0.327</v>
      </c>
      <c r="G13" s="25" t="s">
        <v>155</v>
      </c>
    </row>
    <row r="14" customFormat="false" ht="15" hidden="false" customHeight="false" outlineLevel="0" collapsed="false">
      <c r="A14" s="6" t="s">
        <v>156</v>
      </c>
      <c r="F14" s="24" t="n">
        <v>-4.84</v>
      </c>
    </row>
    <row r="15" customFormat="false" ht="15" hidden="false" customHeight="false" outlineLevel="0" collapsed="false">
      <c r="A15" s="4" t="s">
        <v>157</v>
      </c>
      <c r="B15" s="15" t="s">
        <v>158</v>
      </c>
      <c r="C15" s="26" t="s">
        <v>133</v>
      </c>
      <c r="D15" s="21" t="n">
        <f aca="false">IF(COUNT(D6:D13)&lt;8,"",$F$14+SUMPRODUCT(D6:D13,$F$6:$F$13))</f>
        <v>-2.61178821920322</v>
      </c>
      <c r="E15" s="21" t="n">
        <f aca="false">IF(COUNT(E6:E13)&lt;8,"",$F$14+SUMPRODUCT(E6:E13,$F$6:$F$13))</f>
        <v>-2.66645858267627</v>
      </c>
    </row>
    <row r="16" customFormat="false" ht="15" hidden="false" customHeight="false" outlineLevel="0" collapsed="false">
      <c r="A16" s="6" t="s">
        <v>159</v>
      </c>
      <c r="B16" s="15" t="s">
        <v>160</v>
      </c>
      <c r="F16" s="20" t="n">
        <v>-1.78</v>
      </c>
    </row>
    <row r="17" customFormat="false" ht="15" hidden="false" customHeight="false" outlineLevel="0" collapsed="false">
      <c r="A17" s="4" t="s">
        <v>161</v>
      </c>
      <c r="C17" s="22" t="s">
        <v>133</v>
      </c>
      <c r="D17" s="22" t="str">
        <f aca="false">IF(D15="","",IF(D15&gt;$F$16,"Riskli bölge","Eşiğin altında"))</f>
        <v>Eşiğin altında</v>
      </c>
      <c r="E17" s="22" t="str">
        <f aca="false">IF(E15="","",IF(E15&gt;$F$16,"Riskli bölge","Eşiğin altında"))</f>
        <v>Eşiğin altında</v>
      </c>
    </row>
    <row r="19" customFormat="false" ht="15" hidden="false" customHeight="false" outlineLevel="0" collapsed="false">
      <c r="A19" s="2" t="s">
        <v>162</v>
      </c>
    </row>
    <row r="20" customFormat="false" ht="15" hidden="false" customHeight="false" outlineLevel="0" collapsed="false">
      <c r="A20" s="2" t="s">
        <v>163</v>
      </c>
    </row>
    <row r="21" customFormat="false" ht="15" hidden="false" customHeight="false" outlineLevel="0" collapsed="false">
      <c r="A21" s="2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2026-10-05T10:35:23Z</dcterms:created>
  <dc:creator>openpyxl</dc:creator>
  <dc:description/>
  <dc:language>en-US</dc:language>
  <cp:lastModifiedBy/>
  <dcterms:modified xsi:type="dcterms:W3CDTF">2026-10-05T10:35:23Z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