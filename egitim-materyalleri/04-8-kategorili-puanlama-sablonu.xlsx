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Puanlam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<sst xmlns="http://schemas.openxmlformats.org/spreadsheetml/2006/main" count="105" uniqueCount="103">
  <si>
    <t xml:space="preserve">Puanlama Özeti</t>
  </si>
  <si>
    <t xml:space="preserve">Kategori</t>
  </si>
  <si>
    <t xml:space="preserve">Puan (1-10)</t>
  </si>
  <si>
    <t xml:space="preserve">Ne ölçer</t>
  </si>
  <si>
    <t xml:space="preserve">Karlılık</t>
  </si>
  <si>
    <t xml:space="preserve">Şirketin kar üretme gücü</t>
  </si>
  <si>
    <t xml:space="preserve">Büyüme</t>
  </si>
  <si>
    <t xml:space="preserve">Gelir ve kar büyüme dinamiği</t>
  </si>
  <si>
    <t xml:space="preserve">Borçluluk</t>
  </si>
  <si>
    <t xml:space="preserve">Finansal risk ve kaldıraç</t>
  </si>
  <si>
    <t xml:space="preserve">Nakit Üretimi</t>
  </si>
  <si>
    <t xml:space="preserve">Gerçek nakit yaratma kapasitesi</t>
  </si>
  <si>
    <t xml:space="preserve">Temettü Kapasitesi</t>
  </si>
  <si>
    <t xml:space="preserve">Sürdürülebilir getiri potansiyeli</t>
  </si>
  <si>
    <t xml:space="preserve">Rekabet Avantajı</t>
  </si>
  <si>
    <t xml:space="preserve">Ekonomik hendek (moat) gücü</t>
  </si>
  <si>
    <t xml:space="preserve">Yönetim Kalitesi</t>
  </si>
  <si>
    <t xml:space="preserve">Sermaye tahsisi ve şeffaflık</t>
  </si>
  <si>
    <t xml:space="preserve">Değerleme</t>
  </si>
  <si>
    <t xml:space="preserve">Mevcut fiyatın makullüğü</t>
  </si>
  <si>
    <t xml:space="preserve">Puanlanan kategori sayısı</t>
  </si>
  <si>
    <t xml:space="preserve">Veri yetersiz kategoriyi boş bırakın, genel puan kalan kategoriler üzerinden hesaplanır.</t>
  </si>
  <si>
    <t xml:space="preserve">Toplam puan</t>
  </si>
  <si>
    <t xml:space="preserve">Azami puan</t>
  </si>
  <si>
    <t xml:space="preserve">8 kategori puanlandıysa 80.</t>
  </si>
  <si>
    <t xml:space="preserve">Genel puan</t>
  </si>
  <si>
    <t xml:space="preserve">Yorum bandı</t>
  </si>
  <si>
    <t xml:space="preserve">Puan ölçeği</t>
  </si>
  <si>
    <t xml:space="preserve">9-10</t>
  </si>
  <si>
    <t xml:space="preserve">Olağanüstü, sektörün en iyileri arasında</t>
  </si>
  <si>
    <t xml:space="preserve">7-8</t>
  </si>
  <si>
    <t xml:space="preserve">Güçlü, ortalamanın belirgin üzerinde</t>
  </si>
  <si>
    <t xml:space="preserve">5-6</t>
  </si>
  <si>
    <t xml:space="preserve">Ortalama, kabul edilebilir ama öne çıkmıyor</t>
  </si>
  <si>
    <t xml:space="preserve">3-4</t>
  </si>
  <si>
    <t xml:space="preserve">Ortalamanın altında, dikkat gerektiriyor</t>
  </si>
  <si>
    <t xml:space="preserve">1-2</t>
  </si>
  <si>
    <t xml:space="preserve">Zayıf, ciddi endişe kaynağı</t>
  </si>
  <si>
    <t xml:space="preserve">Puanlama kuralları</t>
  </si>
  <si>
    <t xml:space="preserve">1. Her puan somut veriye dayanmalı. Gerekçe sütununa rakamı ve kaynağını yazın.</t>
  </si>
  <si>
    <t xml:space="preserve">2. Puanları sektör bağlamında verin. Enerji şirketinin borçluluk normu ile yazılım şirketininki farklıdır.</t>
  </si>
  <si>
    <t xml:space="preserve">3. Değerleme puanı diğerlerinden bağımsızdır. Çok iyi bir şirket pahalıysa değerleme puanı düşük olabilir.</t>
  </si>
  <si>
    <t xml:space="preserve">4. Kategori puanı, doldurulan ölçütlerin ortalamasıdır. Boş bıraktığınız ölçüt hesaba girmez.</t>
  </si>
  <si>
    <t xml:space="preserve">5. Genel puan bir finansal sağlık göstergesidir, yatırım tavsiyesi değildir.</t>
  </si>
  <si>
    <t xml:space="preserve">Renk kodları</t>
  </si>
  <si>
    <t xml:space="preserve">Mavi yazı, sarı zemin</t>
  </si>
  <si>
    <t xml:space="preserve">Sizin dolduracağınız girdi hücresi</t>
  </si>
  <si>
    <t xml:space="preserve">Siyah yazı</t>
  </si>
  <si>
    <t xml:space="preserve">Formül, elle değiştirmeyin</t>
  </si>
  <si>
    <t xml:space="preserve">Yeşil yazı</t>
  </si>
  <si>
    <t xml:space="preserve">Başka sayfadan gelen bağlantı</t>
  </si>
  <si>
    <t xml:space="preserve">8 Kategorili Puanlama Şablonu</t>
  </si>
  <si>
    <t xml:space="preserve">Bilanço Okuma Eğitimi, ek materyal 4. Her ölçüte 1 ile 10 arası tam puan verin, gerekçeyi veriye dayandırın.</t>
  </si>
  <si>
    <t xml:space="preserve">Şirket</t>
  </si>
  <si>
    <t xml:space="preserve">Dönem</t>
  </si>
  <si>
    <t xml:space="preserve">Ölçüt</t>
  </si>
  <si>
    <t xml:space="preserve">Gerekçe (somut veri ile)</t>
  </si>
  <si>
    <t xml:space="preserve">Kategori puanı</t>
  </si>
  <si>
    <t xml:space="preserve">Karlılık
Şirketin kar üretme gücü</t>
  </si>
  <si>
    <t xml:space="preserve">Brüt kar marjı seviyesi ve istikrarı</t>
  </si>
  <si>
    <t xml:space="preserve">Brüt marj 3 yılda %32,7 seviyesinden %35,6 seviyesine çıktı, TMS 29 altında güçlü fiyatlama gücü.</t>
  </si>
  <si>
    <t xml:space="preserve">FAVÖK marjı ve sektör ortalamasıyla kıyas</t>
  </si>
  <si>
    <t xml:space="preserve">FAVÖK marjı %17,5 ile %17,7 arasında çok istikrarlı.</t>
  </si>
  <si>
    <t xml:space="preserve">Net kar marjı ve faaliyet karı ile makas</t>
  </si>
  <si>
    <t xml:space="preserve">Net marj %20,4 seviyesinden %7,5 seviyesine indi, fark parasal kazancın azalmasından geliyor.</t>
  </si>
  <si>
    <t xml:space="preserve">ROE ve ROIC, enflasyon ve sermaye maliyetine göre</t>
  </si>
  <si>
    <t xml:space="preserve">ROIC %14,8, ROE %19,3. Pozitif ama düşüş trendinde.</t>
  </si>
  <si>
    <t xml:space="preserve">Büyüme
Gelir ve kar büyüme dinamiği</t>
  </si>
  <si>
    <t xml:space="preserve">Reel hasılat büyümesi (hacim ve fiyat ayrımı)</t>
  </si>
  <si>
    <t xml:space="preserve">FAVÖK büyümesi</t>
  </si>
  <si>
    <t xml:space="preserve">Net kar büyümesi</t>
  </si>
  <si>
    <t xml:space="preserve">Organik ve inorganik büyüme ayrımı</t>
  </si>
  <si>
    <t xml:space="preserve">Borçluluk
Finansal risk ve kaldıraç</t>
  </si>
  <si>
    <t xml:space="preserve">Net borç / FAVÖK</t>
  </si>
  <si>
    <t xml:space="preserve">Finansal borç / Özkaynak</t>
  </si>
  <si>
    <t xml:space="preserve">Faiz karşılama oranı</t>
  </si>
  <si>
    <t xml:space="preserve">Kur riski ve borç vade yapısı</t>
  </si>
  <si>
    <t xml:space="preserve">Nakit Üretimi
Gerçek nakit yaratma kapasitesi</t>
  </si>
  <si>
    <t xml:space="preserve">Serbest nakit akışı trendi</t>
  </si>
  <si>
    <t xml:space="preserve">Kar kalitesi (İşletme nakit akışı / Net kar)</t>
  </si>
  <si>
    <t xml:space="preserve">Nakit dönüşüm süresi trendi</t>
  </si>
  <si>
    <t xml:space="preserve">CAPEX / Amortisman ve yatırım disiplini</t>
  </si>
  <si>
    <t xml:space="preserve">Temettü Kapasitesi
Sürdürülebilir getiri potansiyeli</t>
  </si>
  <si>
    <t xml:space="preserve">Temettü verimi</t>
  </si>
  <si>
    <t xml:space="preserve">Dağıtım oranı</t>
  </si>
  <si>
    <t xml:space="preserve">Temettü / SNA</t>
  </si>
  <si>
    <t xml:space="preserve">Temettü geçmişi ve büyüme trendi</t>
  </si>
  <si>
    <t xml:space="preserve">Rekabet Avantajı
Ekonomik hendek (moat) gücü</t>
  </si>
  <si>
    <t xml:space="preserve">Marka gücü ve fiyatlama gücü</t>
  </si>
  <si>
    <t xml:space="preserve">Maliyet avantajı ve ölçek</t>
  </si>
  <si>
    <t xml:space="preserve">Geçiş maliyeti ve ağ etkisi</t>
  </si>
  <si>
    <t xml:space="preserve">Düzenleyici bariyer ve lisanslar</t>
  </si>
  <si>
    <t xml:space="preserve">Yönetim Kalitesi
Sermaye tahsisi ve şeffaflık</t>
  </si>
  <si>
    <t xml:space="preserve">Sermaye getirisi trendi ve yatırım kararları</t>
  </si>
  <si>
    <t xml:space="preserve">İlişkili taraf işlemleri</t>
  </si>
  <si>
    <t xml:space="preserve">Azınlık haklarına saygı ve kurumsal yönetim</t>
  </si>
  <si>
    <t xml:space="preserve">Açıklanan hedeflere ulaşma ve şeffaflık</t>
  </si>
  <si>
    <t xml:space="preserve">Değerleme
Mevcut fiyatın makullüğü</t>
  </si>
  <si>
    <t xml:space="preserve">F/K, tarihsel ve sektör ortalamasıyla</t>
  </si>
  <si>
    <t xml:space="preserve">FD/FAVÖK, tarihsel ve sektör ortalamasıyla</t>
  </si>
  <si>
    <t xml:space="preserve">PD/DD ve ROE dengesi</t>
  </si>
  <si>
    <t xml:space="preserve">SNA verimi</t>
  </si>
  <si>
    <t xml:space="preserve">Karlılık satırları CCOLA 2025/12 verisiyle örnek olarak doldurulmuştur. Kendi analizinizde üzerine yazın.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</si>
</sst>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2EFDA"/>
        <bgColor rgb="FFC6EFCE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IF(Puanlama!B3="","Şirket adını Puanlama sayfasına yazın",Puanlama!B3&amp;"  "&amp;Puanlama!B4)</f>
        <v>Şirket adını Puanlama sayfasına yazın</v>
      </c>
    </row>
    <row r="4" customFormat="false" ht="15" hidden="false" customHeight="false" outlineLevel="0" collapsed="false">
      <c r="A4" s="3" t="s">
        <v>1</v>
      </c>
      <c r="B4" s="3" t="s">
        <v>2</v>
      </c>
      <c r="C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Puanlama!E7</f>
        <v>6.5</v>
      </c>
      <c r="C5" s="4" t="s">
        <v>5</v>
      </c>
    </row>
    <row r="6" customFormat="false" ht="15" hidden="false" customHeight="false" outlineLevel="0" collapsed="false">
      <c r="A6" s="4" t="s">
        <v>6</v>
      </c>
      <c r="B6" s="5" t="str">
        <f aca="false">Puanlama!E11</f>
        <v/>
      </c>
      <c r="C6" s="4" t="s">
        <v>7</v>
      </c>
    </row>
    <row r="7" customFormat="false" ht="15" hidden="false" customHeight="false" outlineLevel="0" collapsed="false">
      <c r="A7" s="4" t="s">
        <v>8</v>
      </c>
      <c r="B7" s="5" t="str">
        <f aca="false">Puanlama!E15</f>
        <v/>
      </c>
      <c r="C7" s="4" t="s">
        <v>9</v>
      </c>
    </row>
    <row r="8" customFormat="false" ht="15" hidden="false" customHeight="false" outlineLevel="0" collapsed="false">
      <c r="A8" s="4" t="s">
        <v>10</v>
      </c>
      <c r="B8" s="5" t="str">
        <f aca="false">Puanlama!E19</f>
        <v/>
      </c>
      <c r="C8" s="4" t="s">
        <v>11</v>
      </c>
    </row>
    <row r="9" customFormat="false" ht="15" hidden="false" customHeight="false" outlineLevel="0" collapsed="false">
      <c r="A9" s="4" t="s">
        <v>12</v>
      </c>
      <c r="B9" s="5" t="str">
        <f aca="false">Puanlama!E23</f>
        <v/>
      </c>
      <c r="C9" s="4" t="s">
        <v>13</v>
      </c>
    </row>
    <row r="10" customFormat="false" ht="15" hidden="false" customHeight="false" outlineLevel="0" collapsed="false">
      <c r="A10" s="4" t="s">
        <v>14</v>
      </c>
      <c r="B10" s="5" t="str">
        <f aca="false">Puanlama!E27</f>
        <v/>
      </c>
      <c r="C10" s="4" t="s">
        <v>15</v>
      </c>
    </row>
    <row r="11" customFormat="false" ht="15" hidden="false" customHeight="false" outlineLevel="0" collapsed="false">
      <c r="A11" s="4" t="s">
        <v>16</v>
      </c>
      <c r="B11" s="5" t="str">
        <f aca="false">Puanlama!E31</f>
        <v/>
      </c>
      <c r="C11" s="4" t="s">
        <v>17</v>
      </c>
    </row>
    <row r="12" customFormat="false" ht="15" hidden="false" customHeight="false" outlineLevel="0" collapsed="false">
      <c r="A12" s="4" t="s">
        <v>18</v>
      </c>
      <c r="B12" s="5" t="str">
        <f aca="false">Puanlama!E35</f>
        <v/>
      </c>
      <c r="C12" s="4" t="s">
        <v>19</v>
      </c>
    </row>
    <row r="14" customFormat="false" ht="15" hidden="false" customHeight="false" outlineLevel="0" collapsed="false">
      <c r="A14" s="6" t="s">
        <v>20</v>
      </c>
      <c r="B14" s="7" t="n">
        <f aca="false">COUNT(B5:B12)</f>
        <v>1</v>
      </c>
      <c r="C14" s="8" t="s">
        <v>21</v>
      </c>
    </row>
    <row r="15" customFormat="false" ht="15" hidden="false" customHeight="false" outlineLevel="0" collapsed="false">
      <c r="A15" s="6" t="s">
        <v>22</v>
      </c>
      <c r="B15" s="9" t="n">
        <f aca="false">IF(B14=0,"",SUM(B5:B12))</f>
        <v>6.5</v>
      </c>
    </row>
    <row r="16" customFormat="false" ht="15" hidden="false" customHeight="false" outlineLevel="0" collapsed="false">
      <c r="A16" s="6" t="s">
        <v>23</v>
      </c>
      <c r="B16" s="7" t="n">
        <f aca="false">B14*10</f>
        <v>10</v>
      </c>
      <c r="C16" s="8" t="s">
        <v>24</v>
      </c>
    </row>
    <row r="17" customFormat="false" ht="15" hidden="false" customHeight="false" outlineLevel="0" collapsed="false">
      <c r="A17" s="6" t="s">
        <v>25</v>
      </c>
      <c r="B17" s="10" t="n">
        <f aca="false">IF(B14=0,"",B15/B16)</f>
        <v>0.65</v>
      </c>
    </row>
    <row r="18" customFormat="false" ht="15" hidden="false" customHeight="false" outlineLevel="0" collapsed="false">
      <c r="A18" s="6" t="s">
        <v>26</v>
      </c>
      <c r="B18" s="11" t="str">
        <f aca="false">IF(B17="","",IF(B17&gt;=0.8,"Güçlü şirket, temel göstergeler büyük ölçüde olumlu",IF(B17&gt;=0.6,"Sağlam temel, bazı alanlarda iyileşme potansiyeli var",IF(B17&gt;=0.4,"Karışık tablo, belirgin zayıflıklar mevcut",IF(B17&gt;=0.2,"Zayıf temel, yüksek riskli","Ciddi sorunlu, temel göstergeler büyük ölçüde olumsuz")))))</f>
        <v>Sağlam temel, bazı alanlarda iyileşme potansiyeli var</v>
      </c>
      <c r="C18" s="11"/>
    </row>
    <row r="21" customFormat="false" ht="15" hidden="false" customHeight="false" outlineLevel="0" collapsed="false">
      <c r="A21" s="12" t="s">
        <v>27</v>
      </c>
    </row>
    <row r="22" customFormat="false" ht="15" hidden="false" customHeight="false" outlineLevel="0" collapsed="false">
      <c r="A22" s="6" t="s">
        <v>28</v>
      </c>
      <c r="B22" s="13" t="s">
        <v>29</v>
      </c>
    </row>
    <row r="23" customFormat="false" ht="15" hidden="false" customHeight="false" outlineLevel="0" collapsed="false">
      <c r="A23" s="6" t="s">
        <v>30</v>
      </c>
      <c r="B23" s="13" t="s">
        <v>31</v>
      </c>
    </row>
    <row r="24" customFormat="false" ht="15" hidden="false" customHeight="false" outlineLevel="0" collapsed="false">
      <c r="A24" s="6" t="s">
        <v>32</v>
      </c>
      <c r="B24" s="13" t="s">
        <v>33</v>
      </c>
    </row>
    <row r="25" customFormat="false" ht="15" hidden="false" customHeight="false" outlineLevel="0" collapsed="false">
      <c r="A25" s="6" t="s">
        <v>34</v>
      </c>
      <c r="B25" s="13" t="s">
        <v>35</v>
      </c>
    </row>
    <row r="26" customFormat="false" ht="15" hidden="false" customHeight="false" outlineLevel="0" collapsed="false">
      <c r="A26" s="6" t="s">
        <v>36</v>
      </c>
      <c r="B26" s="13" t="s">
        <v>37</v>
      </c>
    </row>
    <row r="28" customFormat="false" ht="15" hidden="false" customHeight="false" outlineLevel="0" collapsed="false">
      <c r="A28" s="12" t="s">
        <v>38</v>
      </c>
    </row>
    <row r="29" customFormat="false" ht="15" hidden="false" customHeight="false" outlineLevel="0" collapsed="false">
      <c r="A29" s="14" t="s">
        <v>39</v>
      </c>
      <c r="B29" s="14"/>
      <c r="C29" s="14"/>
    </row>
    <row r="30" customFormat="false" ht="15" hidden="false" customHeight="false" outlineLevel="0" collapsed="false">
      <c r="A30" s="14" t="s">
        <v>40</v>
      </c>
      <c r="B30" s="14"/>
      <c r="C30" s="14"/>
    </row>
    <row r="31" customFormat="false" ht="15" hidden="false" customHeight="false" outlineLevel="0" collapsed="false">
      <c r="A31" s="14" t="s">
        <v>41</v>
      </c>
      <c r="B31" s="14"/>
      <c r="C31" s="14"/>
    </row>
    <row r="32" customFormat="false" ht="15" hidden="false" customHeight="false" outlineLevel="0" collapsed="false">
      <c r="A32" s="14" t="s">
        <v>42</v>
      </c>
      <c r="B32" s="14"/>
      <c r="C32" s="14"/>
    </row>
    <row r="33" customFormat="false" ht="15" hidden="false" customHeight="false" outlineLevel="0" collapsed="false">
      <c r="A33" s="14" t="s">
        <v>43</v>
      </c>
      <c r="B33" s="14"/>
      <c r="C33" s="14"/>
    </row>
    <row r="36" customFormat="false" ht="15" hidden="false" customHeight="false" outlineLevel="0" collapsed="false">
      <c r="A36" s="6" t="s">
        <v>44</v>
      </c>
    </row>
    <row r="37" customFormat="false" ht="15" hidden="false" customHeight="false" outlineLevel="0" collapsed="false">
      <c r="A37" s="15" t="s">
        <v>45</v>
      </c>
      <c r="B37" s="13" t="s">
        <v>46</v>
      </c>
    </row>
    <row r="38" customFormat="false" ht="15" hidden="false" customHeight="false" outlineLevel="0" collapsed="false">
      <c r="A38" s="13" t="s">
        <v>47</v>
      </c>
      <c r="B38" s="13" t="s">
        <v>48</v>
      </c>
    </row>
    <row r="39" customFormat="false" ht="15" hidden="false" customHeight="false" outlineLevel="0" collapsed="false">
      <c r="A39" s="16" t="s">
        <v>49</v>
      </c>
      <c r="B39" s="13" t="s">
        <v>50</v>
      </c>
    </row>
  </sheetData>
  <mergeCells count="6">
    <mergeCell ref="B18:C18"/>
    <mergeCell ref="A29:C29"/>
    <mergeCell ref="A30:C30"/>
    <mergeCell ref="A31:C31"/>
    <mergeCell ref="A32:C32"/>
    <mergeCell ref="A33:C33"/>
  </mergeCells>
  <conditionalFormatting sqref="B5:B12">
    <cfRule type="cellIs" priority="2" operator="greaterThanOrEqual" aboveAverage="0" equalAverage="0" bottom="0" percent="0" rank="0" text="" dxfId="0">
      <formula>7</formula>
    </cfRule>
    <cfRule type="cellIs" priority="3" operator="between" aboveAverage="0" equalAverage="0" bottom="0" percent="0" rank="0" text="" dxfId="1">
      <formula>0.1</formula>
      <formula>4.9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8" t="s">
        <v>52</v>
      </c>
    </row>
    <row r="3" customFormat="false" ht="15" hidden="false" customHeight="false" outlineLevel="0" collapsed="false">
      <c r="A3" s="6" t="s">
        <v>53</v>
      </c>
      <c r="B3" s="17"/>
    </row>
    <row r="4" customFormat="false" ht="15" hidden="false" customHeight="false" outlineLevel="0" collapsed="false">
      <c r="A4" s="6" t="s">
        <v>54</v>
      </c>
      <c r="B4" s="17"/>
    </row>
    <row r="6" customFormat="false" ht="15" hidden="false" customHeight="false" outlineLevel="0" collapsed="false">
      <c r="A6" s="3" t="s">
        <v>1</v>
      </c>
      <c r="B6" s="3" t="s">
        <v>55</v>
      </c>
      <c r="C6" s="3" t="s">
        <v>2</v>
      </c>
      <c r="D6" s="3" t="s">
        <v>56</v>
      </c>
      <c r="E6" s="3" t="s">
        <v>57</v>
      </c>
    </row>
    <row r="7" customFormat="false" ht="30" hidden="false" customHeight="true" outlineLevel="0" collapsed="false">
      <c r="A7" s="18" t="s">
        <v>58</v>
      </c>
      <c r="B7" s="19" t="s">
        <v>59</v>
      </c>
      <c r="C7" s="20" t="n">
        <v>8</v>
      </c>
      <c r="D7" s="21" t="s">
        <v>60</v>
      </c>
      <c r="E7" s="9" t="n">
        <f aca="false">IF(COUNT(C7:C10)=0,"",ROUND(AVERAGE(C7:C10),1))</f>
        <v>6.5</v>
      </c>
    </row>
    <row r="8" customFormat="false" ht="30" hidden="false" customHeight="true" outlineLevel="0" collapsed="false">
      <c r="A8" s="18"/>
      <c r="B8" s="19" t="s">
        <v>61</v>
      </c>
      <c r="C8" s="20" t="n">
        <v>7</v>
      </c>
      <c r="D8" s="21" t="s">
        <v>62</v>
      </c>
      <c r="E8" s="9"/>
    </row>
    <row r="9" customFormat="false" ht="30" hidden="false" customHeight="true" outlineLevel="0" collapsed="false">
      <c r="A9" s="18"/>
      <c r="B9" s="19" t="s">
        <v>63</v>
      </c>
      <c r="C9" s="20" t="n">
        <v>5</v>
      </c>
      <c r="D9" s="21" t="s">
        <v>64</v>
      </c>
      <c r="E9" s="9"/>
    </row>
    <row r="10" customFormat="false" ht="30" hidden="false" customHeight="true" outlineLevel="0" collapsed="false">
      <c r="A10" s="18"/>
      <c r="B10" s="19" t="s">
        <v>65</v>
      </c>
      <c r="C10" s="20" t="n">
        <v>6</v>
      </c>
      <c r="D10" s="21" t="s">
        <v>66</v>
      </c>
      <c r="E10" s="9"/>
    </row>
    <row r="11" customFormat="false" ht="30" hidden="false" customHeight="true" outlineLevel="0" collapsed="false">
      <c r="A11" s="18" t="s">
        <v>67</v>
      </c>
      <c r="B11" s="19" t="s">
        <v>68</v>
      </c>
      <c r="C11" s="20"/>
      <c r="D11" s="21"/>
      <c r="E11" s="9" t="str">
        <f aca="false">IF(COUNT(C11:C14)=0,"",ROUND(AVERAGE(C11:C14),1))</f>
        <v/>
      </c>
    </row>
    <row r="12" customFormat="false" ht="30" hidden="false" customHeight="true" outlineLevel="0" collapsed="false">
      <c r="A12" s="18"/>
      <c r="B12" s="19" t="s">
        <v>69</v>
      </c>
      <c r="C12" s="20"/>
      <c r="D12" s="21"/>
      <c r="E12" s="9"/>
    </row>
    <row r="13" customFormat="false" ht="30" hidden="false" customHeight="true" outlineLevel="0" collapsed="false">
      <c r="A13" s="18"/>
      <c r="B13" s="19" t="s">
        <v>70</v>
      </c>
      <c r="C13" s="20"/>
      <c r="D13" s="21"/>
      <c r="E13" s="9"/>
    </row>
    <row r="14" customFormat="false" ht="30" hidden="false" customHeight="true" outlineLevel="0" collapsed="false">
      <c r="A14" s="18"/>
      <c r="B14" s="19" t="s">
        <v>71</v>
      </c>
      <c r="C14" s="20"/>
      <c r="D14" s="21"/>
      <c r="E14" s="9"/>
    </row>
    <row r="15" customFormat="false" ht="30" hidden="false" customHeight="true" outlineLevel="0" collapsed="false">
      <c r="A15" s="18" t="s">
        <v>72</v>
      </c>
      <c r="B15" s="19" t="s">
        <v>73</v>
      </c>
      <c r="C15" s="20"/>
      <c r="D15" s="21"/>
      <c r="E15" s="9" t="str">
        <f aca="false">IF(COUNT(C15:C18)=0,"",ROUND(AVERAGE(C15:C18),1))</f>
        <v/>
      </c>
    </row>
    <row r="16" customFormat="false" ht="30" hidden="false" customHeight="true" outlineLevel="0" collapsed="false">
      <c r="A16" s="18"/>
      <c r="B16" s="19" t="s">
        <v>74</v>
      </c>
      <c r="C16" s="20"/>
      <c r="D16" s="21"/>
      <c r="E16" s="9"/>
    </row>
    <row r="17" customFormat="false" ht="30" hidden="false" customHeight="true" outlineLevel="0" collapsed="false">
      <c r="A17" s="18"/>
      <c r="B17" s="19" t="s">
        <v>75</v>
      </c>
      <c r="C17" s="20"/>
      <c r="D17" s="21"/>
      <c r="E17" s="9"/>
    </row>
    <row r="18" customFormat="false" ht="30" hidden="false" customHeight="true" outlineLevel="0" collapsed="false">
      <c r="A18" s="18"/>
      <c r="B18" s="19" t="s">
        <v>76</v>
      </c>
      <c r="C18" s="20"/>
      <c r="D18" s="21"/>
      <c r="E18" s="9"/>
    </row>
    <row r="19" customFormat="false" ht="30" hidden="false" customHeight="true" outlineLevel="0" collapsed="false">
      <c r="A19" s="18" t="s">
        <v>77</v>
      </c>
      <c r="B19" s="19" t="s">
        <v>78</v>
      </c>
      <c r="C19" s="20"/>
      <c r="D19" s="21"/>
      <c r="E19" s="9" t="str">
        <f aca="false">IF(COUNT(C19:C22)=0,"",ROUND(AVERAGE(C19:C22),1))</f>
        <v/>
      </c>
    </row>
    <row r="20" customFormat="false" ht="30" hidden="false" customHeight="true" outlineLevel="0" collapsed="false">
      <c r="A20" s="18"/>
      <c r="B20" s="19" t="s">
        <v>79</v>
      </c>
      <c r="C20" s="20"/>
      <c r="D20" s="21"/>
      <c r="E20" s="9"/>
    </row>
    <row r="21" customFormat="false" ht="30" hidden="false" customHeight="true" outlineLevel="0" collapsed="false">
      <c r="A21" s="18"/>
      <c r="B21" s="19" t="s">
        <v>80</v>
      </c>
      <c r="C21" s="20"/>
      <c r="D21" s="21"/>
      <c r="E21" s="9"/>
    </row>
    <row r="22" customFormat="false" ht="30" hidden="false" customHeight="true" outlineLevel="0" collapsed="false">
      <c r="A22" s="18"/>
      <c r="B22" s="19" t="s">
        <v>81</v>
      </c>
      <c r="C22" s="20"/>
      <c r="D22" s="21"/>
      <c r="E22" s="9"/>
    </row>
    <row r="23" customFormat="false" ht="30" hidden="false" customHeight="true" outlineLevel="0" collapsed="false">
      <c r="A23" s="18" t="s">
        <v>82</v>
      </c>
      <c r="B23" s="19" t="s">
        <v>83</v>
      </c>
      <c r="C23" s="20"/>
      <c r="D23" s="21"/>
      <c r="E23" s="9" t="str">
        <f aca="false">IF(COUNT(C23:C26)=0,"",ROUND(AVERAGE(C23:C26),1))</f>
        <v/>
      </c>
    </row>
    <row r="24" customFormat="false" ht="30" hidden="false" customHeight="true" outlineLevel="0" collapsed="false">
      <c r="A24" s="18"/>
      <c r="B24" s="19" t="s">
        <v>84</v>
      </c>
      <c r="C24" s="20"/>
      <c r="D24" s="21"/>
      <c r="E24" s="9"/>
    </row>
    <row r="25" customFormat="false" ht="30" hidden="false" customHeight="true" outlineLevel="0" collapsed="false">
      <c r="A25" s="18"/>
      <c r="B25" s="19" t="s">
        <v>85</v>
      </c>
      <c r="C25" s="20"/>
      <c r="D25" s="21"/>
      <c r="E25" s="9"/>
    </row>
    <row r="26" customFormat="false" ht="30" hidden="false" customHeight="true" outlineLevel="0" collapsed="false">
      <c r="A26" s="18"/>
      <c r="B26" s="19" t="s">
        <v>86</v>
      </c>
      <c r="C26" s="20"/>
      <c r="D26" s="21"/>
      <c r="E26" s="9"/>
    </row>
    <row r="27" customFormat="false" ht="30" hidden="false" customHeight="true" outlineLevel="0" collapsed="false">
      <c r="A27" s="18" t="s">
        <v>87</v>
      </c>
      <c r="B27" s="19" t="s">
        <v>88</v>
      </c>
      <c r="C27" s="20"/>
      <c r="D27" s="21"/>
      <c r="E27" s="9" t="str">
        <f aca="false">IF(COUNT(C27:C30)=0,"",ROUND(AVERAGE(C27:C30),1))</f>
        <v/>
      </c>
    </row>
    <row r="28" customFormat="false" ht="30" hidden="false" customHeight="true" outlineLevel="0" collapsed="false">
      <c r="A28" s="18"/>
      <c r="B28" s="19" t="s">
        <v>89</v>
      </c>
      <c r="C28" s="20"/>
      <c r="D28" s="21"/>
      <c r="E28" s="9"/>
    </row>
    <row r="29" customFormat="false" ht="30" hidden="false" customHeight="true" outlineLevel="0" collapsed="false">
      <c r="A29" s="18"/>
      <c r="B29" s="19" t="s">
        <v>90</v>
      </c>
      <c r="C29" s="20"/>
      <c r="D29" s="21"/>
      <c r="E29" s="9"/>
    </row>
    <row r="30" customFormat="false" ht="30" hidden="false" customHeight="true" outlineLevel="0" collapsed="false">
      <c r="A30" s="18"/>
      <c r="B30" s="19" t="s">
        <v>91</v>
      </c>
      <c r="C30" s="20"/>
      <c r="D30" s="21"/>
      <c r="E30" s="9"/>
    </row>
    <row r="31" customFormat="false" ht="30" hidden="false" customHeight="true" outlineLevel="0" collapsed="false">
      <c r="A31" s="18" t="s">
        <v>92</v>
      </c>
      <c r="B31" s="19" t="s">
        <v>93</v>
      </c>
      <c r="C31" s="20"/>
      <c r="D31" s="21"/>
      <c r="E31" s="9" t="str">
        <f aca="false">IF(COUNT(C31:C34)=0,"",ROUND(AVERAGE(C31:C34),1))</f>
        <v/>
      </c>
    </row>
    <row r="32" customFormat="false" ht="30" hidden="false" customHeight="true" outlineLevel="0" collapsed="false">
      <c r="A32" s="18"/>
      <c r="B32" s="19" t="s">
        <v>94</v>
      </c>
      <c r="C32" s="20"/>
      <c r="D32" s="21"/>
      <c r="E32" s="9"/>
    </row>
    <row r="33" customFormat="false" ht="30" hidden="false" customHeight="true" outlineLevel="0" collapsed="false">
      <c r="A33" s="18"/>
      <c r="B33" s="19" t="s">
        <v>95</v>
      </c>
      <c r="C33" s="20"/>
      <c r="D33" s="21"/>
      <c r="E33" s="9"/>
    </row>
    <row r="34" customFormat="false" ht="30" hidden="false" customHeight="true" outlineLevel="0" collapsed="false">
      <c r="A34" s="18"/>
      <c r="B34" s="19" t="s">
        <v>96</v>
      </c>
      <c r="C34" s="20"/>
      <c r="D34" s="21"/>
      <c r="E34" s="9"/>
    </row>
    <row r="35" customFormat="false" ht="30" hidden="false" customHeight="true" outlineLevel="0" collapsed="false">
      <c r="A35" s="18" t="s">
        <v>97</v>
      </c>
      <c r="B35" s="19" t="s">
        <v>98</v>
      </c>
      <c r="C35" s="20"/>
      <c r="D35" s="21"/>
      <c r="E35" s="9" t="str">
        <f aca="false">IF(COUNT(C35:C38)=0,"",ROUND(AVERAGE(C35:C38),1))</f>
        <v/>
      </c>
    </row>
    <row r="36" customFormat="false" ht="30" hidden="false" customHeight="true" outlineLevel="0" collapsed="false">
      <c r="A36" s="18"/>
      <c r="B36" s="19" t="s">
        <v>99</v>
      </c>
      <c r="C36" s="20"/>
      <c r="D36" s="21"/>
      <c r="E36" s="9"/>
    </row>
    <row r="37" customFormat="false" ht="30" hidden="false" customHeight="true" outlineLevel="0" collapsed="false">
      <c r="A37" s="18"/>
      <c r="B37" s="19" t="s">
        <v>100</v>
      </c>
      <c r="C37" s="20"/>
      <c r="D37" s="21"/>
      <c r="E37" s="9"/>
    </row>
    <row r="38" customFormat="false" ht="30" hidden="false" customHeight="true" outlineLevel="0" collapsed="false">
      <c r="A38" s="18"/>
      <c r="B38" s="19" t="s">
        <v>101</v>
      </c>
      <c r="C38" s="20"/>
      <c r="D38" s="21"/>
      <c r="E38" s="9"/>
    </row>
    <row r="40" customFormat="false" ht="15" hidden="false" customHeight="false" outlineLevel="0" collapsed="false">
      <c r="A40" s="8" t="s">
        <v>102</v>
      </c>
    </row>
  </sheetData>
  <mergeCells count="16">
    <mergeCell ref="A7:A10"/>
    <mergeCell ref="E7:E10"/>
    <mergeCell ref="A11:A14"/>
    <mergeCell ref="E11:E14"/>
    <mergeCell ref="A15:A18"/>
    <mergeCell ref="E15:E18"/>
    <mergeCell ref="A19:A22"/>
    <mergeCell ref="E19:E22"/>
    <mergeCell ref="A23:A26"/>
    <mergeCell ref="E23:E26"/>
    <mergeCell ref="A27:A30"/>
    <mergeCell ref="E27:E30"/>
    <mergeCell ref="A31:A34"/>
    <mergeCell ref="E31:E34"/>
    <mergeCell ref="A35:A38"/>
    <mergeCell ref="E35:E38"/>
  </mergeCells>
  <dataValidations count="1">
    <dataValidation allowBlank="true" error="1 ile 10 arasında tam sayı girin" errorStyle="stop" errorTitle="Geçersiz puan" operator="between" showDropDown="false" showErrorMessage="true" showInputMessage="false" sqref="C7:C38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2026-10-05T10:35:23Z</dcterms:created>
  <dc:creator>openpyxl</dc:creator>
  <dc:description/>
  <dc:language>en-US</dc:language>
  <cp:lastModifiedBy/>
  <dcterms:modified xsi:type="dcterms:W3CDTF">2026-10-05T10:35:23Z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